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petri/Desktop/TauschOrdner/verlad/"/>
    </mc:Choice>
  </mc:AlternateContent>
  <xr:revisionPtr revIDLastSave="0" documentId="13_ncr:1_{32EC0EA2-2C70-6F47-826E-EF8DFBC3C215}" xr6:coauthVersionLast="47" xr6:coauthVersionMax="47" xr10:uidLastSave="{00000000-0000-0000-0000-000000000000}"/>
  <bookViews>
    <workbookView xWindow="10280" yWindow="500" windowWidth="20220" windowHeight="18960" activeTab="2" xr2:uid="{00000000-000D-0000-FFFF-FFFF00000000}"/>
  </bookViews>
  <sheets>
    <sheet name="Übersicht" sheetId="1" r:id="rId1"/>
    <sheet name="Fuhrenoptionen" sheetId="2" r:id="rId2"/>
    <sheet name="Pritschen" sheetId="3" r:id="rId3"/>
    <sheet name="Standards" sheetId="4" r:id="rId4"/>
    <sheet name="Import_Hinwe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  <c r="C13" i="1"/>
  <c r="B13" i="1"/>
  <c r="C12" i="1"/>
  <c r="B12" i="1"/>
  <c r="C11" i="1"/>
  <c r="B11" i="1"/>
</calcChain>
</file>

<file path=xl/sharedStrings.xml><?xml version="1.0" encoding="utf-8"?>
<sst xmlns="http://schemas.openxmlformats.org/spreadsheetml/2006/main" count="134" uniqueCount="96">
  <si>
    <t>Vorlage Pritschen / Fuhren für BVX-Verladeplanung</t>
  </si>
  <si>
    <t>Logik</t>
  </si>
  <si>
    <t>Variante A</t>
  </si>
  <si>
    <t>Regel</t>
  </si>
  <si>
    <t>Freigegebene Fuhrenoptionen werden in Priorität geprüft. Die erste nutzbare Option wird wiederholt, bis alle Bauteile/Bunde verladen sind.</t>
  </si>
  <si>
    <t>Wichtig</t>
  </si>
  <si>
    <t>Transporttyp wird nicht frei gewählt. Nur freigegebene Optionen werden verwendet.</t>
  </si>
  <si>
    <t>Dichte</t>
  </si>
  <si>
    <t>siehe Blatt Standards</t>
  </si>
  <si>
    <t>Datenstand</t>
  </si>
  <si>
    <t>2026-06-05</t>
  </si>
  <si>
    <t>Hinweis</t>
  </si>
  <si>
    <t>Gelbe Zellen sind Eingaben. Spaltennamen nicht ändern, damit Python-Import einfacher bleibt.</t>
  </si>
  <si>
    <t>Kontrolle</t>
  </si>
  <si>
    <t>Formel</t>
  </si>
  <si>
    <t>Wert</t>
  </si>
  <si>
    <t>Freigegebene Optionen</t>
  </si>
  <si>
    <t>muss &gt; 0 sein</t>
  </si>
  <si>
    <t>Aktive Pritschen</t>
  </si>
  <si>
    <t>alle nutzbaren Pritschen</t>
  </si>
  <si>
    <t>Standard Holzdichte kg/m³</t>
  </si>
  <si>
    <t>für Gewicht aus m³</t>
  </si>
  <si>
    <t>Max. Bundgewicht kg</t>
  </si>
  <si>
    <t>optional für Bundbildung</t>
  </si>
  <si>
    <t>Freigegeben</t>
  </si>
  <si>
    <t>Priorität</t>
  </si>
  <si>
    <t>Fuhrenoption</t>
  </si>
  <si>
    <t>Wiederholen_bis_alles_verladen</t>
  </si>
  <si>
    <t>Strategie</t>
  </si>
  <si>
    <t>Beschreibung</t>
  </si>
  <si>
    <t>Bemerkung</t>
  </si>
  <si>
    <t>NEIN</t>
  </si>
  <si>
    <t>LKW solo</t>
  </si>
  <si>
    <t>JA</t>
  </si>
  <si>
    <t>Ein LKW. Wenn nicht alles passt, wird ein weiterer LKW solo erzeugt.</t>
  </si>
  <si>
    <t>Beispielwerte prüfen</t>
  </si>
  <si>
    <t>Anhängerzug</t>
  </si>
  <si>
    <t>Zugfahrzeug + Anhänger, falls getrennte Grenzen benötigt werden.</t>
  </si>
  <si>
    <t>Sondertransport/Tiefbett, nur verwenden wenn freigegeben.</t>
  </si>
  <si>
    <t>Pritschen_Reihenfolge</t>
  </si>
  <si>
    <t>Pritschenname</t>
  </si>
  <si>
    <t>Aktiv</t>
  </si>
  <si>
    <t>Länge_mm</t>
  </si>
  <si>
    <t>Breite_mm</t>
  </si>
  <si>
    <t>Max_Ladehöhe_mm</t>
  </si>
  <si>
    <t>Max_Gewicht_kg</t>
  </si>
  <si>
    <t>Eigengewicht_Pritsche_kg</t>
  </si>
  <si>
    <t>Überhang_vorne_mm</t>
  </si>
  <si>
    <t>Überhang_hinten_mm</t>
  </si>
  <si>
    <t>Kantholz_erste_Lage_mm</t>
  </si>
  <si>
    <t>Einlage_zwischen_Lagen_mm</t>
  </si>
  <si>
    <t>Drehen_90_erlaubt</t>
  </si>
  <si>
    <t>LKW</t>
  </si>
  <si>
    <t>Beispielwert</t>
  </si>
  <si>
    <t>Anhänger</t>
  </si>
  <si>
    <t>Parameter</t>
  </si>
  <si>
    <t>Einheit</t>
  </si>
  <si>
    <t>Holzdichte</t>
  </si>
  <si>
    <t>kg/m³</t>
  </si>
  <si>
    <t>Gewicht = m³ × Holzdichte</t>
  </si>
  <si>
    <t>Max_Bundgewicht</t>
  </si>
  <si>
    <t>kg</t>
  </si>
  <si>
    <t>nur wenn als Bund verladen wird</t>
  </si>
  <si>
    <t>Standard_Kantholz_erste_Lage</t>
  </si>
  <si>
    <t>mm</t>
  </si>
  <si>
    <t>kann pro Pritsche überschrieben werden</t>
  </si>
  <si>
    <t>Standard_Einlage_zwischen_Lagen</t>
  </si>
  <si>
    <t>Bundeinlage / Zwischenholz</t>
  </si>
  <si>
    <t>Längenversatz_je_Lage</t>
  </si>
  <si>
    <t>z. B. 10 cm Versatz für Gurte</t>
  </si>
  <si>
    <t>Abstand_zwischen_Einheiten</t>
  </si>
  <si>
    <t>freier Abstand hintereinander/nebeneinander</t>
  </si>
  <si>
    <t>Sichtseite_nach_unten</t>
  </si>
  <si>
    <t>JA/NEIN</t>
  </si>
  <si>
    <t>später für Verladehinweis</t>
  </si>
  <si>
    <t>Plane_Folie</t>
  </si>
  <si>
    <t>Import-Hinweis für Python / Streamlit</t>
  </si>
  <si>
    <t>Blatt</t>
  </si>
  <si>
    <t>Verwendung</t>
  </si>
  <si>
    <t>Fuhrenoptionen</t>
  </si>
  <si>
    <t>Welche Fuhrenoptionen freigegeben sind und in welcher Priorität sie gerechnet werden.</t>
  </si>
  <si>
    <t>Pritschen</t>
  </si>
  <si>
    <t>Alle Pritschen pro Fuhrenoption mit Länge, Breite, Höhe, Gewicht und Unterleghölzern.</t>
  </si>
  <si>
    <t>Standards</t>
  </si>
  <si>
    <t>Grundwerte für Dichte, Bundgewicht, Einlagen und Versatz.</t>
  </si>
  <si>
    <t>Erste freigegebene und nutzbare Fuhrenoption wird wiederholt, bis alles verladen ist.</t>
  </si>
  <si>
    <t>Nicht passend</t>
  </si>
  <si>
    <t>Wenn ein Bauteil/Bund in keine freigegebene Pritsche passt, muss eine Warnung ausgegeben werden.</t>
  </si>
  <si>
    <t>Spaltennamen</t>
  </si>
  <si>
    <t>Nicht ändern, damit der spätere Import in die .py stabil bleibt.</t>
  </si>
  <si>
    <t>Einheiten</t>
  </si>
  <si>
    <t>Alle Längen in mm, Gewichte in kg.</t>
  </si>
  <si>
    <t>Aktiv/Freigegeben</t>
  </si>
  <si>
    <t>Nur Zeilen mit JA werden später berücksichtigt.</t>
  </si>
  <si>
    <t>JA bedeutet Länge/Breite darf auf der Pritsche getauscht werden.</t>
  </si>
  <si>
    <t>Auflieger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</si>
</sst>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11"/>
      <color rgb="FF666666"/>
      <name val="Carlito"/>
    </font>
    <font>
      <b/>
      <sz val="11"/>
      <name val="Carlito"/>
    </font>
    <font>
      <b/>
      <sz val="13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2" fillId="3" borderId="0" xfId="1" applyFont="1" applyFill="1" applyAlignment="1">
      <alignment horizontal="left" vertical="center"/>
    </xf>
    <xf numFmtId="0" fontId="0" fillId="0" borderId="0" xfId="1" applyFont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left" vertical="center" wrapText="1"/>
    </xf>
    <xf numFmtId="0" fontId="4" fillId="0" borderId="0" xfId="1" applyFont="1" applyAlignment="1">
      <alignment wrapText="1"/>
    </xf>
    <xf numFmtId="0" fontId="5" fillId="4" borderId="0" xfId="1" applyFont="1" applyFill="1" applyAlignment="1">
      <alignment horizontal="center" wrapText="1"/>
    </xf>
    <xf numFmtId="0" fontId="0" fillId="5" borderId="0" xfId="1" applyFont="1" applyFill="1"/>
    <xf numFmtId="1" fontId="0" fillId="5" borderId="0" xfId="1" applyNumberFormat="1" applyFont="1" applyFill="1"/>
    <xf numFmtId="0" fontId="0" fillId="5" borderId="0" xfId="1" applyFont="1" applyFill="1" applyAlignment="1">
      <alignment wrapText="1"/>
    </xf>
    <xf numFmtId="1" fontId="0" fillId="5" borderId="0" xfId="1" applyNumberFormat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6" fillId="2" borderId="0" xfId="1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5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" formatCode="0"/>
      <fill>
        <patternFill patternType="solid">
          <fgColor indexed="64"/>
          <bgColor rgb="FFFFF2CC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uhrenoptionen" displayName="tblFuhrenoptionen" ref="A1:G4">
  <tableColumns count="7">
    <tableColumn id="1" xr3:uid="{00000000-0010-0000-0000-000001000000}" name="Freigegeben"/>
    <tableColumn id="2" xr3:uid="{00000000-0010-0000-0000-000002000000}" name="Priorität"/>
    <tableColumn id="3" xr3:uid="{00000000-0010-0000-0000-000003000000}" name="Fuhrenoption"/>
    <tableColumn id="4" xr3:uid="{00000000-0010-0000-0000-000004000000}" name="Wiederholen_bis_alles_verladen"/>
    <tableColumn id="5" xr3:uid="{00000000-0010-0000-0000-000005000000}" name="Strategie"/>
    <tableColumn id="6" xr3:uid="{00000000-0010-0000-0000-000006000000}" name="Beschreibung"/>
    <tableColumn id="7" xr3:uid="{00000000-0010-0000-0000-000007000000}" name="Bemerk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itschen" displayName="tblPritschen" ref="A1:O5">
  <tableColumns count="15">
    <tableColumn id="1" xr3:uid="{00000000-0010-0000-0100-000001000000}" name="Fuhrenoption"/>
    <tableColumn id="2" xr3:uid="{00000000-0010-0000-0100-000002000000}" name="Pritschen_Reihenfolge"/>
    <tableColumn id="3" xr3:uid="{00000000-0010-0000-0100-000003000000}" name="Pritschenname"/>
    <tableColumn id="4" xr3:uid="{00000000-0010-0000-0100-000004000000}" name="Aktiv"/>
    <tableColumn id="5" xr3:uid="{00000000-0010-0000-0100-000005000000}" name="Länge_mm"/>
    <tableColumn id="6" xr3:uid="{00000000-0010-0000-0100-000006000000}" name="Breite_mm"/>
    <tableColumn id="7" xr3:uid="{00000000-0010-0000-0100-000007000000}" name="Max_Ladehöhe_mm"/>
    <tableColumn id="8" xr3:uid="{00000000-0010-0000-0100-000008000000}" name="Max_Gewicht_kg"/>
    <tableColumn id="15" xr3:uid="{4B9FAF1A-A419-E34D-B69B-31123F7DFF33}" name="Eigengewicht_Pritsche_kg" dataDxfId="4" dataCellStyle="Normal"/>
    <tableColumn id="9" xr3:uid="{00000000-0010-0000-0100-000009000000}" name="Überhang_vorne_mm"/>
    <tableColumn id="10" xr3:uid="{00000000-0010-0000-0100-00000A000000}" name="Überhang_hinten_mm"/>
    <tableColumn id="11" xr3:uid="{00000000-0010-0000-0100-00000B000000}" name="Kantholz_erste_Lage_mm"/>
    <tableColumn id="12" xr3:uid="{00000000-0010-0000-0100-00000C000000}" name="Einlage_zwischen_Lagen_mm"/>
    <tableColumn id="13" xr3:uid="{00000000-0010-0000-0100-00000D000000}" name="Drehen_90_erlaubt"/>
    <tableColumn id="14" xr3:uid="{00000000-0010-0000-0100-00000E000000}" name="Bemerk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72" customWidth="1"/>
    <col min="3" max="3" width="18" customWidth="1"/>
    <col min="4" max="4" width="30" customWidth="1"/>
  </cols>
  <sheetData>
    <row r="1" spans="1:8" ht="37.25" customHeight="1">
      <c r="A1" s="11" t="s">
        <v>0</v>
      </c>
      <c r="B1" s="12"/>
      <c r="C1" s="12"/>
      <c r="D1" s="12"/>
      <c r="E1" s="12"/>
      <c r="F1" s="12"/>
      <c r="G1" s="12"/>
      <c r="H1" s="12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>
      <c r="A3" s="4" t="s">
        <v>1</v>
      </c>
      <c r="B3" s="2" t="s">
        <v>2</v>
      </c>
      <c r="C3" s="2"/>
      <c r="D3" s="2"/>
      <c r="E3" s="2"/>
      <c r="F3" s="2"/>
      <c r="G3" s="2"/>
      <c r="H3" s="2"/>
    </row>
    <row r="4" spans="1:8" ht="30">
      <c r="A4" s="4" t="s">
        <v>3</v>
      </c>
      <c r="B4" s="2" t="s">
        <v>4</v>
      </c>
      <c r="C4" s="2"/>
      <c r="D4" s="2"/>
      <c r="E4" s="2"/>
      <c r="F4" s="2"/>
      <c r="G4" s="2"/>
      <c r="H4" s="2"/>
    </row>
    <row r="5" spans="1:8" ht="16">
      <c r="A5" s="4" t="s">
        <v>5</v>
      </c>
      <c r="B5" s="2" t="s">
        <v>6</v>
      </c>
      <c r="C5" s="2"/>
      <c r="D5" s="2"/>
      <c r="E5" s="2"/>
      <c r="F5" s="2"/>
      <c r="G5" s="2"/>
      <c r="H5" s="2"/>
    </row>
    <row r="6" spans="1:8" ht="16">
      <c r="A6" s="4" t="s">
        <v>7</v>
      </c>
      <c r="B6" s="2" t="s">
        <v>8</v>
      </c>
      <c r="C6" s="2"/>
      <c r="D6" s="2"/>
      <c r="E6" s="2"/>
      <c r="F6" s="2"/>
      <c r="G6" s="2"/>
      <c r="H6" s="2"/>
    </row>
    <row r="7" spans="1:8" ht="16">
      <c r="A7" s="4" t="s">
        <v>9</v>
      </c>
      <c r="B7" s="2" t="s">
        <v>10</v>
      </c>
      <c r="C7" s="2"/>
      <c r="D7" s="2"/>
      <c r="E7" s="2"/>
      <c r="F7" s="2"/>
      <c r="G7" s="2"/>
      <c r="H7" s="2"/>
    </row>
    <row r="8" spans="1:8" ht="30">
      <c r="A8" s="4" t="s">
        <v>11</v>
      </c>
      <c r="B8" s="2" t="s">
        <v>12</v>
      </c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 ht="16">
      <c r="A10" s="3" t="s">
        <v>13</v>
      </c>
      <c r="B10" s="3" t="s">
        <v>14</v>
      </c>
      <c r="C10" s="3" t="s">
        <v>15</v>
      </c>
      <c r="D10" s="3" t="s">
        <v>11</v>
      </c>
      <c r="E10" s="2"/>
      <c r="F10" s="2"/>
      <c r="G10" s="2"/>
      <c r="H10" s="2"/>
    </row>
    <row r="11" spans="1:8" ht="16">
      <c r="A11" s="2" t="s">
        <v>16</v>
      </c>
      <c r="B11" s="5">
        <f>COUNTIF(Fuhrenoptionen!A2:A49,"JA")</f>
        <v>3</v>
      </c>
      <c r="C11" s="6">
        <f>COUNTIF(Fuhrenoptionen!A2:A49,"JA")</f>
        <v>3</v>
      </c>
      <c r="D11" s="2" t="s">
        <v>17</v>
      </c>
      <c r="E11" s="2"/>
      <c r="F11" s="2"/>
      <c r="G11" s="2"/>
      <c r="H11" s="2"/>
    </row>
    <row r="12" spans="1:8" ht="16">
      <c r="A12" s="2" t="s">
        <v>18</v>
      </c>
      <c r="B12" s="5">
        <f>COUNTIF(Pritschen!D2:D198,"JA")</f>
        <v>4</v>
      </c>
      <c r="C12" s="6">
        <f>COUNTIF(Pritschen!D2:D198,"JA")</f>
        <v>4</v>
      </c>
      <c r="D12" s="2" t="s">
        <v>19</v>
      </c>
      <c r="E12" s="2"/>
      <c r="F12" s="2"/>
      <c r="G12" s="2"/>
      <c r="H12" s="2"/>
    </row>
    <row r="13" spans="1:8" ht="16">
      <c r="A13" s="2" t="s">
        <v>20</v>
      </c>
      <c r="B13" s="5">
        <f>Standards!B2</f>
        <v>500</v>
      </c>
      <c r="C13" s="6">
        <f>Standards!B2</f>
        <v>500</v>
      </c>
      <c r="D13" s="2" t="s">
        <v>21</v>
      </c>
      <c r="E13" s="2"/>
      <c r="F13" s="2"/>
      <c r="G13" s="2"/>
      <c r="H13" s="2"/>
    </row>
    <row r="14" spans="1:8" ht="16">
      <c r="A14" s="2" t="s">
        <v>22</v>
      </c>
      <c r="B14" s="5">
        <f>Standards!B3</f>
        <v>2500</v>
      </c>
      <c r="C14" s="6">
        <f>Standards!B3</f>
        <v>2500</v>
      </c>
      <c r="D14" s="2" t="s">
        <v>23</v>
      </c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opLeftCell="C1" workbookViewId="0">
      <selection activeCell="D3" sqref="D3"/>
    </sheetView>
  </sheetViews>
  <sheetFormatPr baseColWidth="10" defaultColWidth="8.83203125" defaultRowHeight="14"/>
  <cols>
    <col min="1" max="1" width="16" customWidth="1"/>
    <col min="2" max="2" width="12" customWidth="1"/>
    <col min="3" max="3" width="24" customWidth="1"/>
    <col min="4" max="4" width="30" customWidth="1"/>
    <col min="5" max="5" width="18" customWidth="1"/>
    <col min="6" max="6" width="60" customWidth="1"/>
    <col min="7" max="7" width="30" customWidth="1"/>
  </cols>
  <sheetData>
    <row r="1" spans="1:7" ht="16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ht="15">
      <c r="A2" s="7" t="s">
        <v>33</v>
      </c>
      <c r="B2" s="8">
        <v>2</v>
      </c>
      <c r="C2" s="7" t="s">
        <v>32</v>
      </c>
      <c r="D2" s="7" t="s">
        <v>33</v>
      </c>
      <c r="E2" s="2" t="s">
        <v>2</v>
      </c>
      <c r="F2" s="2" t="s">
        <v>34</v>
      </c>
      <c r="G2" s="2" t="s">
        <v>35</v>
      </c>
    </row>
    <row r="3" spans="1:7" ht="15">
      <c r="A3" s="7" t="s">
        <v>33</v>
      </c>
      <c r="B3" s="8">
        <v>1</v>
      </c>
      <c r="C3" s="7" t="s">
        <v>36</v>
      </c>
      <c r="D3" s="7" t="s">
        <v>33</v>
      </c>
      <c r="E3" s="2" t="s">
        <v>2</v>
      </c>
      <c r="F3" s="2" t="s">
        <v>37</v>
      </c>
      <c r="G3" s="2"/>
    </row>
    <row r="4" spans="1:7" ht="15">
      <c r="A4" s="7" t="s">
        <v>33</v>
      </c>
      <c r="B4" s="8">
        <v>3</v>
      </c>
      <c r="C4" s="7" t="s">
        <v>95</v>
      </c>
      <c r="D4" s="7" t="s">
        <v>33</v>
      </c>
      <c r="E4" s="2" t="s">
        <v>2</v>
      </c>
      <c r="F4" s="2" t="s">
        <v>38</v>
      </c>
      <c r="G4" s="2"/>
    </row>
    <row r="5" spans="1:7">
      <c r="A5" s="7"/>
      <c r="B5" s="8"/>
      <c r="C5" s="7"/>
      <c r="D5" s="7"/>
      <c r="E5" s="2"/>
      <c r="F5" s="2"/>
      <c r="G5" s="2"/>
    </row>
    <row r="6" spans="1:7">
      <c r="A6" s="7"/>
      <c r="B6" s="8"/>
      <c r="C6" s="7"/>
      <c r="D6" s="7"/>
      <c r="E6" s="2"/>
      <c r="F6" s="2"/>
      <c r="G6" s="2"/>
    </row>
    <row r="7" spans="1:7">
      <c r="A7" s="7"/>
      <c r="B7" s="8"/>
      <c r="C7" s="7"/>
      <c r="D7" s="7"/>
      <c r="E7" s="2"/>
      <c r="F7" s="2"/>
      <c r="G7" s="2"/>
    </row>
    <row r="8" spans="1:7">
      <c r="A8" s="7"/>
      <c r="B8" s="8"/>
      <c r="C8" s="7"/>
      <c r="D8" s="7"/>
      <c r="E8" s="2"/>
      <c r="F8" s="2"/>
      <c r="G8" s="2"/>
    </row>
    <row r="9" spans="1:7">
      <c r="A9" s="7"/>
      <c r="B9" s="8"/>
      <c r="C9" s="7"/>
      <c r="D9" s="7"/>
      <c r="E9" s="2"/>
      <c r="F9" s="2"/>
      <c r="G9" s="2"/>
    </row>
    <row r="10" spans="1:7">
      <c r="A10" s="7"/>
      <c r="B10" s="8"/>
      <c r="C10" s="7"/>
      <c r="D10" s="7"/>
      <c r="E10" s="2"/>
      <c r="F10" s="2"/>
      <c r="G10" s="2"/>
    </row>
    <row r="11" spans="1:7">
      <c r="A11" s="7"/>
      <c r="B11" s="8"/>
      <c r="C11" s="7"/>
      <c r="D11" s="7"/>
      <c r="E11" s="2"/>
      <c r="F11" s="2"/>
      <c r="G11" s="2"/>
    </row>
    <row r="12" spans="1:7">
      <c r="A12" s="7"/>
      <c r="B12" s="8"/>
      <c r="C12" s="7"/>
      <c r="D12" s="7"/>
      <c r="E12" s="2"/>
      <c r="F12" s="2"/>
      <c r="G12" s="2"/>
    </row>
    <row r="13" spans="1:7">
      <c r="A13" s="7"/>
      <c r="B13" s="8"/>
      <c r="C13" s="7"/>
      <c r="D13" s="7"/>
      <c r="E13" s="2"/>
      <c r="F13" s="2"/>
      <c r="G13" s="2"/>
    </row>
    <row r="14" spans="1:7">
      <c r="A14" s="7"/>
      <c r="B14" s="8"/>
      <c r="C14" s="7"/>
      <c r="D14" s="7"/>
      <c r="E14" s="2"/>
      <c r="F14" s="2"/>
      <c r="G14" s="2"/>
    </row>
    <row r="15" spans="1:7">
      <c r="A15" s="7"/>
      <c r="B15" s="8"/>
      <c r="C15" s="7"/>
      <c r="D15" s="7"/>
      <c r="E15" s="2"/>
      <c r="F15" s="2"/>
      <c r="G15" s="2"/>
    </row>
    <row r="16" spans="1:7">
      <c r="A16" s="7"/>
      <c r="B16" s="8"/>
      <c r="C16" s="7"/>
      <c r="D16" s="7"/>
      <c r="E16" s="2"/>
      <c r="F16" s="2"/>
      <c r="G16" s="2"/>
    </row>
    <row r="17" spans="1:7">
      <c r="A17" s="7"/>
      <c r="B17" s="8"/>
      <c r="C17" s="7"/>
      <c r="D17" s="7"/>
      <c r="E17" s="2"/>
      <c r="F17" s="2"/>
      <c r="G17" s="2"/>
    </row>
    <row r="18" spans="1:7">
      <c r="A18" s="7"/>
      <c r="B18" s="8"/>
      <c r="C18" s="7"/>
      <c r="D18" s="7"/>
      <c r="E18" s="2"/>
      <c r="F18" s="2"/>
      <c r="G18" s="2"/>
    </row>
    <row r="19" spans="1:7">
      <c r="A19" s="7"/>
      <c r="B19" s="8"/>
      <c r="C19" s="7"/>
      <c r="D19" s="7"/>
      <c r="E19" s="2"/>
      <c r="F19" s="2"/>
      <c r="G19" s="2"/>
    </row>
    <row r="20" spans="1:7">
      <c r="A20" s="7"/>
      <c r="B20" s="8"/>
      <c r="C20" s="7"/>
      <c r="D20" s="7"/>
      <c r="E20" s="2"/>
      <c r="F20" s="2"/>
      <c r="G20" s="2"/>
    </row>
    <row r="21" spans="1:7">
      <c r="A21" s="7"/>
      <c r="B21" s="8"/>
      <c r="C21" s="7"/>
      <c r="D21" s="7"/>
      <c r="E21" s="2"/>
      <c r="F21" s="2"/>
      <c r="G21" s="2"/>
    </row>
    <row r="22" spans="1:7">
      <c r="A22" s="7"/>
      <c r="B22" s="8"/>
      <c r="C22" s="7"/>
      <c r="D22" s="7"/>
      <c r="E22" s="2"/>
      <c r="F22" s="2"/>
      <c r="G22" s="2"/>
    </row>
    <row r="23" spans="1:7">
      <c r="A23" s="7"/>
      <c r="B23" s="8"/>
      <c r="C23" s="7"/>
      <c r="D23" s="7"/>
      <c r="E23" s="2"/>
      <c r="F23" s="2"/>
      <c r="G23" s="2"/>
    </row>
    <row r="24" spans="1:7">
      <c r="A24" s="7"/>
      <c r="B24" s="8"/>
      <c r="C24" s="7"/>
      <c r="D24" s="7"/>
      <c r="E24" s="2"/>
      <c r="F24" s="2"/>
      <c r="G24" s="2"/>
    </row>
    <row r="25" spans="1:7">
      <c r="A25" s="7"/>
      <c r="B25" s="8"/>
      <c r="C25" s="7"/>
      <c r="D25" s="7"/>
      <c r="E25" s="2"/>
      <c r="F25" s="2"/>
      <c r="G25" s="2"/>
    </row>
    <row r="26" spans="1:7">
      <c r="A26" s="7"/>
      <c r="B26" s="8"/>
      <c r="C26" s="7"/>
      <c r="D26" s="7"/>
      <c r="E26" s="2"/>
      <c r="F26" s="2"/>
      <c r="G26" s="2"/>
    </row>
    <row r="27" spans="1:7">
      <c r="A27" s="7"/>
      <c r="B27" s="8"/>
      <c r="C27" s="7"/>
      <c r="D27" s="7"/>
      <c r="E27" s="2"/>
      <c r="F27" s="2"/>
      <c r="G27" s="2"/>
    </row>
    <row r="28" spans="1:7">
      <c r="A28" s="7"/>
      <c r="B28" s="8"/>
      <c r="C28" s="7"/>
      <c r="D28" s="7"/>
      <c r="E28" s="2"/>
      <c r="F28" s="2"/>
      <c r="G28" s="2"/>
    </row>
    <row r="29" spans="1:7">
      <c r="A29" s="7"/>
      <c r="B29" s="8"/>
      <c r="C29" s="7"/>
      <c r="D29" s="7"/>
      <c r="E29" s="2"/>
      <c r="F29" s="2"/>
      <c r="G29" s="2"/>
    </row>
    <row r="30" spans="1:7">
      <c r="A30" s="7"/>
      <c r="B30" s="8"/>
      <c r="C30" s="7"/>
      <c r="D30" s="7"/>
      <c r="E30" s="2"/>
      <c r="F30" s="2"/>
      <c r="G30" s="2"/>
    </row>
    <row r="31" spans="1:7">
      <c r="A31" s="7"/>
      <c r="B31" s="8"/>
      <c r="C31" s="7"/>
      <c r="D31" s="7"/>
      <c r="E31" s="2"/>
      <c r="F31" s="2"/>
      <c r="G31" s="2"/>
    </row>
    <row r="32" spans="1:7">
      <c r="A32" s="7"/>
      <c r="B32" s="8"/>
      <c r="C32" s="7"/>
      <c r="D32" s="7"/>
      <c r="E32" s="2"/>
      <c r="F32" s="2"/>
      <c r="G32" s="2"/>
    </row>
    <row r="33" spans="1:7">
      <c r="A33" s="7"/>
      <c r="B33" s="8"/>
      <c r="C33" s="7"/>
      <c r="D33" s="7"/>
      <c r="E33" s="2"/>
      <c r="F33" s="2"/>
      <c r="G33" s="2"/>
    </row>
    <row r="34" spans="1:7">
      <c r="A34" s="7"/>
      <c r="B34" s="8"/>
      <c r="C34" s="7"/>
      <c r="D34" s="7"/>
      <c r="E34" s="2"/>
      <c r="F34" s="2"/>
      <c r="G34" s="2"/>
    </row>
    <row r="35" spans="1:7">
      <c r="A35" s="7"/>
      <c r="B35" s="8"/>
      <c r="C35" s="7"/>
      <c r="D35" s="7"/>
      <c r="E35" s="2"/>
      <c r="F35" s="2"/>
      <c r="G35" s="2"/>
    </row>
    <row r="36" spans="1:7">
      <c r="A36" s="7"/>
      <c r="B36" s="8"/>
      <c r="C36" s="7"/>
      <c r="D36" s="7"/>
      <c r="E36" s="2"/>
      <c r="F36" s="2"/>
      <c r="G36" s="2"/>
    </row>
    <row r="37" spans="1:7">
      <c r="A37" s="7"/>
      <c r="B37" s="8"/>
      <c r="C37" s="7"/>
      <c r="D37" s="7"/>
      <c r="E37" s="2"/>
      <c r="F37" s="2"/>
      <c r="G37" s="2"/>
    </row>
    <row r="38" spans="1:7">
      <c r="A38" s="7"/>
      <c r="B38" s="8"/>
      <c r="C38" s="7"/>
      <c r="D38" s="7"/>
      <c r="E38" s="2"/>
      <c r="F38" s="2"/>
      <c r="G38" s="2"/>
    </row>
    <row r="39" spans="1:7">
      <c r="A39" s="7"/>
      <c r="B39" s="8"/>
      <c r="C39" s="7"/>
      <c r="D39" s="7"/>
      <c r="E39" s="2"/>
      <c r="F39" s="2"/>
      <c r="G39" s="2"/>
    </row>
    <row r="40" spans="1:7">
      <c r="A40" s="7"/>
      <c r="B40" s="8"/>
      <c r="C40" s="7"/>
      <c r="D40" s="7"/>
      <c r="E40" s="2"/>
      <c r="F40" s="2"/>
      <c r="G40" s="2"/>
    </row>
    <row r="41" spans="1:7">
      <c r="A41" s="7"/>
      <c r="B41" s="8"/>
      <c r="C41" s="7"/>
      <c r="D41" s="7"/>
      <c r="E41" s="2"/>
      <c r="F41" s="2"/>
      <c r="G41" s="2"/>
    </row>
    <row r="42" spans="1:7">
      <c r="A42" s="7"/>
      <c r="B42" s="8"/>
      <c r="C42" s="7"/>
      <c r="D42" s="7"/>
      <c r="E42" s="2"/>
      <c r="F42" s="2"/>
      <c r="G42" s="2"/>
    </row>
    <row r="43" spans="1:7">
      <c r="A43" s="7"/>
      <c r="B43" s="8"/>
      <c r="C43" s="7"/>
      <c r="D43" s="7"/>
      <c r="E43" s="2"/>
      <c r="F43" s="2"/>
      <c r="G43" s="2"/>
    </row>
    <row r="44" spans="1:7">
      <c r="A44" s="7"/>
      <c r="B44" s="8"/>
      <c r="C44" s="7"/>
      <c r="D44" s="7"/>
      <c r="E44" s="2"/>
      <c r="F44" s="2"/>
      <c r="G44" s="2"/>
    </row>
    <row r="45" spans="1:7">
      <c r="A45" s="7"/>
      <c r="B45" s="8"/>
      <c r="C45" s="7"/>
      <c r="D45" s="7"/>
      <c r="E45" s="2"/>
      <c r="F45" s="2"/>
      <c r="G45" s="2"/>
    </row>
    <row r="46" spans="1:7">
      <c r="A46" s="7"/>
      <c r="B46" s="8"/>
      <c r="C46" s="7"/>
      <c r="D46" s="7"/>
      <c r="E46" s="2"/>
      <c r="F46" s="2"/>
      <c r="G46" s="2"/>
    </row>
    <row r="47" spans="1:7">
      <c r="A47" s="7"/>
      <c r="B47" s="8"/>
      <c r="C47" s="7"/>
      <c r="D47" s="7"/>
      <c r="E47" s="2"/>
      <c r="F47" s="2"/>
      <c r="G47" s="2"/>
    </row>
    <row r="48" spans="1:7">
      <c r="A48" s="7"/>
      <c r="B48" s="8"/>
      <c r="C48" s="7"/>
      <c r="D48" s="7"/>
      <c r="E48" s="2"/>
      <c r="F48" s="2"/>
      <c r="G48" s="2"/>
    </row>
    <row r="49" spans="1:7">
      <c r="A49" s="7"/>
      <c r="B49" s="8"/>
      <c r="C49" s="7"/>
      <c r="D49" s="7"/>
      <c r="E49" s="2"/>
      <c r="F49" s="2"/>
      <c r="G49" s="2"/>
    </row>
  </sheetData>
  <conditionalFormatting sqref="A2:A49">
    <cfRule type="expression" dxfId="3" priority="1">
      <formula>A2="JA"</formula>
    </cfRule>
    <cfRule type="expression" dxfId="2" priority="2">
      <formula>A2="NEIN"</formula>
    </cfRule>
  </conditionalFormatting>
  <dataValidations count="1">
    <dataValidation type="list" sqref="D2:D49 A2:A49" xr:uid="{00000000-0002-0000-0100-000000000000}">
      <formula1>"JA,NEIN"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8"/>
  <sheetViews>
    <sheetView tabSelected="1" topLeftCell="K1" workbookViewId="0">
      <selection activeCell="J6" sqref="J6"/>
    </sheetView>
  </sheetViews>
  <sheetFormatPr baseColWidth="10" defaultColWidth="8.83203125" defaultRowHeight="14"/>
  <cols>
    <col min="1" max="1" width="24" customWidth="1"/>
    <col min="2" max="3" width="18" customWidth="1"/>
    <col min="4" max="4" width="10" customWidth="1"/>
    <col min="5" max="6" width="13" customWidth="1"/>
    <col min="7" max="7" width="17" customWidth="1"/>
    <col min="8" max="9" width="16" customWidth="1"/>
    <col min="10" max="11" width="18" customWidth="1"/>
    <col min="12" max="12" width="21" customWidth="1"/>
    <col min="13" max="13" width="24" customWidth="1"/>
    <col min="14" max="14" width="18" customWidth="1"/>
    <col min="15" max="15" width="32" customWidth="1"/>
  </cols>
  <sheetData>
    <row r="1" spans="1:15" ht="32">
      <c r="A1" s="3" t="s">
        <v>26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30</v>
      </c>
    </row>
    <row r="2" spans="1:15" ht="15">
      <c r="A2" s="9" t="s">
        <v>32</v>
      </c>
      <c r="B2" s="10">
        <v>2</v>
      </c>
      <c r="C2" s="9" t="s">
        <v>52</v>
      </c>
      <c r="D2" s="9" t="s">
        <v>33</v>
      </c>
      <c r="E2" s="10">
        <v>7600</v>
      </c>
      <c r="F2" s="10">
        <v>2450</v>
      </c>
      <c r="G2" s="10">
        <v>2800</v>
      </c>
      <c r="H2" s="10">
        <v>15000</v>
      </c>
      <c r="I2" s="10">
        <v>1000</v>
      </c>
      <c r="J2" s="10">
        <v>0</v>
      </c>
      <c r="K2" s="10">
        <v>1500</v>
      </c>
      <c r="L2" s="10">
        <v>80</v>
      </c>
      <c r="M2" s="10">
        <v>40</v>
      </c>
      <c r="N2" s="9" t="s">
        <v>31</v>
      </c>
      <c r="O2" s="9" t="s">
        <v>53</v>
      </c>
    </row>
    <row r="3" spans="1:15" ht="15">
      <c r="A3" s="9" t="s">
        <v>36</v>
      </c>
      <c r="B3" s="10">
        <v>2</v>
      </c>
      <c r="C3" s="9" t="s">
        <v>52</v>
      </c>
      <c r="D3" s="9" t="s">
        <v>33</v>
      </c>
      <c r="E3" s="10">
        <v>7600</v>
      </c>
      <c r="F3" s="10">
        <v>2450</v>
      </c>
      <c r="G3" s="10">
        <v>2800</v>
      </c>
      <c r="H3" s="10">
        <v>12000</v>
      </c>
      <c r="I3" s="10">
        <v>1000</v>
      </c>
      <c r="J3" s="10">
        <v>0</v>
      </c>
      <c r="K3" s="10">
        <v>0</v>
      </c>
      <c r="L3" s="10">
        <v>80</v>
      </c>
      <c r="M3" s="10">
        <v>40</v>
      </c>
      <c r="N3" s="9" t="s">
        <v>31</v>
      </c>
      <c r="O3" s="9" t="s">
        <v>53</v>
      </c>
    </row>
    <row r="4" spans="1:15" ht="15">
      <c r="A4" s="9" t="s">
        <v>36</v>
      </c>
      <c r="B4" s="10">
        <v>1</v>
      </c>
      <c r="C4" s="9" t="s">
        <v>54</v>
      </c>
      <c r="D4" s="9" t="s">
        <v>33</v>
      </c>
      <c r="E4" s="10">
        <v>7600</v>
      </c>
      <c r="F4" s="10">
        <v>2450</v>
      </c>
      <c r="G4" s="10">
        <v>2800</v>
      </c>
      <c r="H4" s="10">
        <v>12000</v>
      </c>
      <c r="I4" s="10">
        <v>1000</v>
      </c>
      <c r="J4" s="10">
        <v>0</v>
      </c>
      <c r="K4" s="10">
        <v>2000</v>
      </c>
      <c r="L4" s="10">
        <v>80</v>
      </c>
      <c r="M4" s="10">
        <v>40</v>
      </c>
      <c r="N4" s="9" t="s">
        <v>31</v>
      </c>
      <c r="O4" s="9" t="s">
        <v>53</v>
      </c>
    </row>
    <row r="5" spans="1:15" ht="15">
      <c r="A5" s="9" t="s">
        <v>95</v>
      </c>
      <c r="B5" s="10">
        <v>1</v>
      </c>
      <c r="C5" s="9" t="s">
        <v>95</v>
      </c>
      <c r="D5" s="9" t="s">
        <v>33</v>
      </c>
      <c r="E5" s="10">
        <v>7600</v>
      </c>
      <c r="F5" s="10">
        <v>2450</v>
      </c>
      <c r="G5" s="10">
        <v>2800</v>
      </c>
      <c r="H5" s="10">
        <v>20000</v>
      </c>
      <c r="I5" s="10">
        <v>1000</v>
      </c>
      <c r="J5" s="10">
        <v>1400</v>
      </c>
      <c r="K5" s="10">
        <v>3500</v>
      </c>
      <c r="L5" s="10">
        <v>80</v>
      </c>
      <c r="M5" s="10">
        <v>40</v>
      </c>
      <c r="N5" s="9" t="s">
        <v>31</v>
      </c>
      <c r="O5" s="9" t="s">
        <v>53</v>
      </c>
    </row>
    <row r="6" spans="1:15">
      <c r="A6" s="9"/>
      <c r="B6" s="10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9"/>
      <c r="O6" s="9"/>
    </row>
    <row r="7" spans="1:15">
      <c r="A7" s="9"/>
      <c r="B7" s="10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9"/>
      <c r="O7" s="9"/>
    </row>
    <row r="8" spans="1:15">
      <c r="A8" s="9"/>
      <c r="B8" s="10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9"/>
      <c r="O8" s="9"/>
    </row>
    <row r="9" spans="1:15">
      <c r="A9" s="9"/>
      <c r="B9" s="10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9"/>
      <c r="O9" s="9"/>
    </row>
    <row r="10" spans="1:15">
      <c r="A10" s="9"/>
      <c r="B10" s="10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9"/>
      <c r="O10" s="9"/>
    </row>
    <row r="11" spans="1:15">
      <c r="A11" s="9"/>
      <c r="B11" s="10"/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9"/>
      <c r="O11" s="9"/>
    </row>
    <row r="12" spans="1:15">
      <c r="A12" s="9"/>
      <c r="B12" s="10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9"/>
      <c r="O12" s="9"/>
    </row>
    <row r="13" spans="1:15">
      <c r="A13" s="9"/>
      <c r="B13" s="10"/>
      <c r="C13" s="9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9"/>
      <c r="O13" s="9"/>
    </row>
    <row r="14" spans="1:15">
      <c r="A14" s="9"/>
      <c r="B14" s="10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9"/>
      <c r="O14" s="9"/>
    </row>
    <row r="15" spans="1:15">
      <c r="A15" s="9"/>
      <c r="B15" s="10"/>
      <c r="C15" s="9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9"/>
      <c r="O15" s="9"/>
    </row>
    <row r="16" spans="1:15">
      <c r="A16" s="9"/>
      <c r="B16" s="10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9"/>
      <c r="O16" s="9"/>
    </row>
    <row r="17" spans="1:15">
      <c r="A17" s="9"/>
      <c r="B17" s="10"/>
      <c r="C17" s="9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9"/>
      <c r="O17" s="9"/>
    </row>
    <row r="18" spans="1:15">
      <c r="A18" s="9"/>
      <c r="B18" s="10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9"/>
      <c r="O18" s="9"/>
    </row>
    <row r="19" spans="1:15">
      <c r="A19" s="9"/>
      <c r="B19" s="10"/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9"/>
      <c r="O19" s="9"/>
    </row>
    <row r="20" spans="1:15">
      <c r="A20" s="9"/>
      <c r="B20" s="10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9"/>
      <c r="O20" s="9"/>
    </row>
    <row r="21" spans="1:15">
      <c r="A21" s="9"/>
      <c r="B21" s="10"/>
      <c r="C21" s="9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9"/>
      <c r="O21" s="9"/>
    </row>
    <row r="22" spans="1:15">
      <c r="A22" s="9"/>
      <c r="B22" s="10"/>
      <c r="C22" s="9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9"/>
      <c r="O22" s="9"/>
    </row>
    <row r="23" spans="1:15">
      <c r="A23" s="9"/>
      <c r="B23" s="10"/>
      <c r="C23" s="9"/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9"/>
      <c r="O23" s="9"/>
    </row>
    <row r="24" spans="1:15">
      <c r="A24" s="9"/>
      <c r="B24" s="10"/>
      <c r="C24" s="9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9"/>
      <c r="O24" s="9"/>
    </row>
    <row r="25" spans="1:15">
      <c r="A25" s="9"/>
      <c r="B25" s="10"/>
      <c r="C25" s="9"/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9"/>
      <c r="O25" s="9"/>
    </row>
    <row r="26" spans="1:15">
      <c r="A26" s="9"/>
      <c r="B26" s="10"/>
      <c r="C26" s="9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9"/>
      <c r="O26" s="9"/>
    </row>
    <row r="27" spans="1:15">
      <c r="A27" s="9"/>
      <c r="B27" s="10"/>
      <c r="C27" s="9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9"/>
      <c r="O27" s="9"/>
    </row>
    <row r="28" spans="1:15">
      <c r="A28" s="9"/>
      <c r="B28" s="10"/>
      <c r="C28" s="9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9"/>
      <c r="O28" s="9"/>
    </row>
    <row r="29" spans="1:15">
      <c r="A29" s="9"/>
      <c r="B29" s="10"/>
      <c r="C29" s="9"/>
      <c r="D29" s="9"/>
      <c r="E29" s="10"/>
      <c r="F29" s="10"/>
      <c r="G29" s="10"/>
      <c r="H29" s="10"/>
      <c r="I29" s="10"/>
      <c r="J29" s="10"/>
      <c r="K29" s="10"/>
      <c r="L29" s="10"/>
      <c r="M29" s="10"/>
      <c r="N29" s="9"/>
      <c r="O29" s="9"/>
    </row>
    <row r="30" spans="1:15">
      <c r="A30" s="9"/>
      <c r="B30" s="10"/>
      <c r="C30" s="9"/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9"/>
      <c r="O30" s="9"/>
    </row>
    <row r="31" spans="1:15">
      <c r="A31" s="9"/>
      <c r="B31" s="10"/>
      <c r="C31" s="9"/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9"/>
      <c r="O31" s="9"/>
    </row>
    <row r="32" spans="1:15">
      <c r="A32" s="9"/>
      <c r="B32" s="10"/>
      <c r="C32" s="9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9"/>
      <c r="O32" s="9"/>
    </row>
    <row r="33" spans="1:15">
      <c r="A33" s="9"/>
      <c r="B33" s="10"/>
      <c r="C33" s="9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9"/>
      <c r="O33" s="9"/>
    </row>
    <row r="34" spans="1:15">
      <c r="A34" s="9"/>
      <c r="B34" s="10"/>
      <c r="C34" s="9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9"/>
      <c r="O34" s="9"/>
    </row>
    <row r="35" spans="1:15">
      <c r="A35" s="9"/>
      <c r="B35" s="10"/>
      <c r="C35" s="9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9"/>
      <c r="O35" s="9"/>
    </row>
    <row r="36" spans="1:15">
      <c r="A36" s="9"/>
      <c r="B36" s="10"/>
      <c r="C36" s="9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9"/>
      <c r="O36" s="9"/>
    </row>
    <row r="37" spans="1:15">
      <c r="A37" s="9"/>
      <c r="B37" s="10"/>
      <c r="C37" s="9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9"/>
      <c r="O37" s="9"/>
    </row>
    <row r="38" spans="1:15">
      <c r="A38" s="9"/>
      <c r="B38" s="10"/>
      <c r="C38" s="9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9"/>
      <c r="O38" s="9"/>
    </row>
    <row r="39" spans="1:15">
      <c r="A39" s="9"/>
      <c r="B39" s="10"/>
      <c r="C39" s="9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9"/>
      <c r="O39" s="9"/>
    </row>
    <row r="40" spans="1:15">
      <c r="A40" s="9"/>
      <c r="B40" s="10"/>
      <c r="C40" s="9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9"/>
      <c r="O40" s="9"/>
    </row>
    <row r="41" spans="1:15">
      <c r="A41" s="9"/>
      <c r="B41" s="10"/>
      <c r="C41" s="9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9"/>
      <c r="O41" s="9"/>
    </row>
    <row r="42" spans="1:15">
      <c r="A42" s="9"/>
      <c r="B42" s="10"/>
      <c r="C42" s="9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9"/>
      <c r="O42" s="9"/>
    </row>
    <row r="43" spans="1:15">
      <c r="A43" s="9"/>
      <c r="B43" s="10"/>
      <c r="C43" s="9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9"/>
      <c r="O43" s="9"/>
    </row>
    <row r="44" spans="1:15">
      <c r="A44" s="9"/>
      <c r="B44" s="10"/>
      <c r="C44" s="9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9"/>
      <c r="O44" s="9"/>
    </row>
    <row r="45" spans="1:15">
      <c r="A45" s="9"/>
      <c r="B45" s="10"/>
      <c r="C45" s="9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9"/>
      <c r="O45" s="9"/>
    </row>
    <row r="46" spans="1:15">
      <c r="A46" s="9"/>
      <c r="B46" s="10"/>
      <c r="C46" s="9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9"/>
      <c r="O46" s="9"/>
    </row>
    <row r="47" spans="1:15">
      <c r="A47" s="9"/>
      <c r="B47" s="10"/>
      <c r="C47" s="9"/>
      <c r="D47" s="9"/>
      <c r="E47" s="10"/>
      <c r="F47" s="10"/>
      <c r="G47" s="10"/>
      <c r="H47" s="10"/>
      <c r="I47" s="10"/>
      <c r="J47" s="10"/>
      <c r="K47" s="10"/>
      <c r="L47" s="10"/>
      <c r="M47" s="10"/>
      <c r="N47" s="9"/>
      <c r="O47" s="9"/>
    </row>
    <row r="48" spans="1:15">
      <c r="A48" s="9"/>
      <c r="B48" s="10"/>
      <c r="C48" s="9"/>
      <c r="D48" s="9"/>
      <c r="E48" s="10"/>
      <c r="F48" s="10"/>
      <c r="G48" s="10"/>
      <c r="H48" s="10"/>
      <c r="I48" s="10"/>
      <c r="J48" s="10"/>
      <c r="K48" s="10"/>
      <c r="L48" s="10"/>
      <c r="M48" s="10"/>
      <c r="N48" s="9"/>
      <c r="O48" s="9"/>
    </row>
    <row r="49" spans="1:15">
      <c r="A49" s="9"/>
      <c r="B49" s="10"/>
      <c r="C49" s="9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9"/>
      <c r="O49" s="9"/>
    </row>
    <row r="50" spans="1:15">
      <c r="A50" s="9"/>
      <c r="B50" s="10"/>
      <c r="C50" s="9"/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9"/>
      <c r="O50" s="9"/>
    </row>
    <row r="51" spans="1:15">
      <c r="A51" s="9"/>
      <c r="B51" s="10"/>
      <c r="C51" s="9"/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9"/>
      <c r="O51" s="9"/>
    </row>
    <row r="52" spans="1:15">
      <c r="A52" s="9"/>
      <c r="B52" s="10"/>
      <c r="C52" s="9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9"/>
      <c r="O52" s="9"/>
    </row>
    <row r="53" spans="1:15">
      <c r="A53" s="9"/>
      <c r="B53" s="10"/>
      <c r="C53" s="9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9"/>
      <c r="O53" s="9"/>
    </row>
    <row r="54" spans="1:15">
      <c r="A54" s="9"/>
      <c r="B54" s="10"/>
      <c r="C54" s="9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9"/>
      <c r="O54" s="9"/>
    </row>
    <row r="55" spans="1:15">
      <c r="A55" s="9"/>
      <c r="B55" s="10"/>
      <c r="C55" s="9"/>
      <c r="D55" s="9"/>
      <c r="E55" s="10"/>
      <c r="F55" s="10"/>
      <c r="G55" s="10"/>
      <c r="H55" s="10"/>
      <c r="I55" s="10"/>
      <c r="J55" s="10"/>
      <c r="K55" s="10"/>
      <c r="L55" s="10"/>
      <c r="M55" s="10"/>
      <c r="N55" s="9"/>
      <c r="O55" s="9"/>
    </row>
    <row r="56" spans="1:15">
      <c r="A56" s="9"/>
      <c r="B56" s="10"/>
      <c r="C56" s="9"/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9"/>
      <c r="O56" s="9"/>
    </row>
    <row r="57" spans="1:15">
      <c r="A57" s="9"/>
      <c r="B57" s="10"/>
      <c r="C57" s="9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9"/>
      <c r="O57" s="9"/>
    </row>
    <row r="58" spans="1:15">
      <c r="A58" s="9"/>
      <c r="B58" s="10"/>
      <c r="C58" s="9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9"/>
      <c r="O58" s="9"/>
    </row>
    <row r="59" spans="1:15">
      <c r="A59" s="9"/>
      <c r="B59" s="10"/>
      <c r="C59" s="9"/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9"/>
      <c r="O59" s="9"/>
    </row>
    <row r="60" spans="1:15">
      <c r="A60" s="9"/>
      <c r="B60" s="10"/>
      <c r="C60" s="9"/>
      <c r="D60" s="9"/>
      <c r="E60" s="10"/>
      <c r="F60" s="10"/>
      <c r="G60" s="10"/>
      <c r="H60" s="10"/>
      <c r="I60" s="10"/>
      <c r="J60" s="10"/>
      <c r="K60" s="10"/>
      <c r="L60" s="10"/>
      <c r="M60" s="10"/>
      <c r="N60" s="9"/>
      <c r="O60" s="9"/>
    </row>
    <row r="61" spans="1:15">
      <c r="A61" s="9"/>
      <c r="B61" s="10"/>
      <c r="C61" s="9"/>
      <c r="D61" s="9"/>
      <c r="E61" s="10"/>
      <c r="F61" s="10"/>
      <c r="G61" s="10"/>
      <c r="H61" s="10"/>
      <c r="I61" s="10"/>
      <c r="J61" s="10"/>
      <c r="K61" s="10"/>
      <c r="L61" s="10"/>
      <c r="M61" s="10"/>
      <c r="N61" s="9"/>
      <c r="O61" s="9"/>
    </row>
    <row r="62" spans="1:15">
      <c r="A62" s="9"/>
      <c r="B62" s="10"/>
      <c r="C62" s="9"/>
      <c r="D62" s="9"/>
      <c r="E62" s="10"/>
      <c r="F62" s="10"/>
      <c r="G62" s="10"/>
      <c r="H62" s="10"/>
      <c r="I62" s="10"/>
      <c r="J62" s="10"/>
      <c r="K62" s="10"/>
      <c r="L62" s="10"/>
      <c r="M62" s="10"/>
      <c r="N62" s="9"/>
      <c r="O62" s="9"/>
    </row>
    <row r="63" spans="1:15">
      <c r="A63" s="9"/>
      <c r="B63" s="10"/>
      <c r="C63" s="9"/>
      <c r="D63" s="9"/>
      <c r="E63" s="10"/>
      <c r="F63" s="10"/>
      <c r="G63" s="10"/>
      <c r="H63" s="10"/>
      <c r="I63" s="10"/>
      <c r="J63" s="10"/>
      <c r="K63" s="10"/>
      <c r="L63" s="10"/>
      <c r="M63" s="10"/>
      <c r="N63" s="9"/>
      <c r="O63" s="9"/>
    </row>
    <row r="64" spans="1:15">
      <c r="A64" s="9"/>
      <c r="B64" s="10"/>
      <c r="C64" s="9"/>
      <c r="D64" s="9"/>
      <c r="E64" s="10"/>
      <c r="F64" s="10"/>
      <c r="G64" s="10"/>
      <c r="H64" s="10"/>
      <c r="I64" s="10"/>
      <c r="J64" s="10"/>
      <c r="K64" s="10"/>
      <c r="L64" s="10"/>
      <c r="M64" s="10"/>
      <c r="N64" s="9"/>
      <c r="O64" s="9"/>
    </row>
    <row r="65" spans="1:15">
      <c r="A65" s="9"/>
      <c r="B65" s="10"/>
      <c r="C65" s="9"/>
      <c r="D65" s="9"/>
      <c r="E65" s="10"/>
      <c r="F65" s="10"/>
      <c r="G65" s="10"/>
      <c r="H65" s="10"/>
      <c r="I65" s="10"/>
      <c r="J65" s="10"/>
      <c r="K65" s="10"/>
      <c r="L65" s="10"/>
      <c r="M65" s="10"/>
      <c r="N65" s="9"/>
      <c r="O65" s="9"/>
    </row>
    <row r="66" spans="1:15">
      <c r="A66" s="9"/>
      <c r="B66" s="10"/>
      <c r="C66" s="9"/>
      <c r="D66" s="9"/>
      <c r="E66" s="10"/>
      <c r="F66" s="10"/>
      <c r="G66" s="10"/>
      <c r="H66" s="10"/>
      <c r="I66" s="10"/>
      <c r="J66" s="10"/>
      <c r="K66" s="10"/>
      <c r="L66" s="10"/>
      <c r="M66" s="10"/>
      <c r="N66" s="9"/>
      <c r="O66" s="9"/>
    </row>
    <row r="67" spans="1:15">
      <c r="A67" s="9"/>
      <c r="B67" s="10"/>
      <c r="C67" s="9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9"/>
      <c r="O67" s="9"/>
    </row>
    <row r="68" spans="1:15">
      <c r="A68" s="9"/>
      <c r="B68" s="10"/>
      <c r="C68" s="9"/>
      <c r="D68" s="9"/>
      <c r="E68" s="10"/>
      <c r="F68" s="10"/>
      <c r="G68" s="10"/>
      <c r="H68" s="10"/>
      <c r="I68" s="10"/>
      <c r="J68" s="10"/>
      <c r="K68" s="10"/>
      <c r="L68" s="10"/>
      <c r="M68" s="10"/>
      <c r="N68" s="9"/>
      <c r="O68" s="9"/>
    </row>
    <row r="69" spans="1:15">
      <c r="A69" s="9"/>
      <c r="B69" s="10"/>
      <c r="C69" s="9"/>
      <c r="D69" s="9"/>
      <c r="E69" s="10"/>
      <c r="F69" s="10"/>
      <c r="G69" s="10"/>
      <c r="H69" s="10"/>
      <c r="I69" s="10"/>
      <c r="J69" s="10"/>
      <c r="K69" s="10"/>
      <c r="L69" s="10"/>
      <c r="M69" s="10"/>
      <c r="N69" s="9"/>
      <c r="O69" s="9"/>
    </row>
    <row r="70" spans="1:15">
      <c r="A70" s="9"/>
      <c r="B70" s="10"/>
      <c r="C70" s="9"/>
      <c r="D70" s="9"/>
      <c r="E70" s="10"/>
      <c r="F70" s="10"/>
      <c r="G70" s="10"/>
      <c r="H70" s="10"/>
      <c r="I70" s="10"/>
      <c r="J70" s="10"/>
      <c r="K70" s="10"/>
      <c r="L70" s="10"/>
      <c r="M70" s="10"/>
      <c r="N70" s="9"/>
      <c r="O70" s="9"/>
    </row>
    <row r="71" spans="1:15">
      <c r="A71" s="9"/>
      <c r="B71" s="10"/>
      <c r="C71" s="9"/>
      <c r="D71" s="9"/>
      <c r="E71" s="10"/>
      <c r="F71" s="10"/>
      <c r="G71" s="10"/>
      <c r="H71" s="10"/>
      <c r="I71" s="10"/>
      <c r="J71" s="10"/>
      <c r="K71" s="10"/>
      <c r="L71" s="10"/>
      <c r="M71" s="10"/>
      <c r="N71" s="9"/>
      <c r="O71" s="9"/>
    </row>
    <row r="72" spans="1:15">
      <c r="A72" s="9"/>
      <c r="B72" s="10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9"/>
      <c r="O72" s="9"/>
    </row>
    <row r="73" spans="1:15">
      <c r="A73" s="9"/>
      <c r="B73" s="10"/>
      <c r="C73" s="9"/>
      <c r="D73" s="9"/>
      <c r="E73" s="10"/>
      <c r="F73" s="10"/>
      <c r="G73" s="10"/>
      <c r="H73" s="10"/>
      <c r="I73" s="10"/>
      <c r="J73" s="10"/>
      <c r="K73" s="10"/>
      <c r="L73" s="10"/>
      <c r="M73" s="10"/>
      <c r="N73" s="9"/>
      <c r="O73" s="9"/>
    </row>
    <row r="74" spans="1:15">
      <c r="A74" s="9"/>
      <c r="B74" s="10"/>
      <c r="C74" s="9"/>
      <c r="D74" s="9"/>
      <c r="E74" s="10"/>
      <c r="F74" s="10"/>
      <c r="G74" s="10"/>
      <c r="H74" s="10"/>
      <c r="I74" s="10"/>
      <c r="J74" s="10"/>
      <c r="K74" s="10"/>
      <c r="L74" s="10"/>
      <c r="M74" s="10"/>
      <c r="N74" s="9"/>
      <c r="O74" s="9"/>
    </row>
    <row r="75" spans="1:15">
      <c r="A75" s="9"/>
      <c r="B75" s="10"/>
      <c r="C75" s="9"/>
      <c r="D75" s="9"/>
      <c r="E75" s="10"/>
      <c r="F75" s="10"/>
      <c r="G75" s="10"/>
      <c r="H75" s="10"/>
      <c r="I75" s="10"/>
      <c r="J75" s="10"/>
      <c r="K75" s="10"/>
      <c r="L75" s="10"/>
      <c r="M75" s="10"/>
      <c r="N75" s="9"/>
      <c r="O75" s="9"/>
    </row>
    <row r="76" spans="1:15">
      <c r="A76" s="9"/>
      <c r="B76" s="10"/>
      <c r="C76" s="9"/>
      <c r="D76" s="9"/>
      <c r="E76" s="10"/>
      <c r="F76" s="10"/>
      <c r="G76" s="10"/>
      <c r="H76" s="10"/>
      <c r="I76" s="10"/>
      <c r="J76" s="10"/>
      <c r="K76" s="10"/>
      <c r="L76" s="10"/>
      <c r="M76" s="10"/>
      <c r="N76" s="9"/>
      <c r="O76" s="9"/>
    </row>
    <row r="77" spans="1:15">
      <c r="A77" s="9"/>
      <c r="B77" s="10"/>
      <c r="C77" s="9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9"/>
      <c r="O77" s="9"/>
    </row>
    <row r="78" spans="1:15">
      <c r="A78" s="9"/>
      <c r="B78" s="10"/>
      <c r="C78" s="9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9"/>
      <c r="O78" s="9"/>
    </row>
    <row r="79" spans="1:15">
      <c r="A79" s="9"/>
      <c r="B79" s="10"/>
      <c r="C79" s="9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9"/>
      <c r="O79" s="9"/>
    </row>
    <row r="80" spans="1:15">
      <c r="A80" s="9"/>
      <c r="B80" s="10"/>
      <c r="C80" s="9"/>
      <c r="D80" s="9"/>
      <c r="E80" s="10"/>
      <c r="F80" s="10"/>
      <c r="G80" s="10"/>
      <c r="H80" s="10"/>
      <c r="I80" s="10"/>
      <c r="J80" s="10"/>
      <c r="K80" s="10"/>
      <c r="L80" s="10"/>
      <c r="M80" s="10"/>
      <c r="N80" s="9"/>
      <c r="O80" s="9"/>
    </row>
    <row r="81" spans="1:15">
      <c r="A81" s="9"/>
      <c r="B81" s="10"/>
      <c r="C81" s="9"/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9"/>
      <c r="O81" s="9"/>
    </row>
    <row r="82" spans="1:15">
      <c r="A82" s="9"/>
      <c r="B82" s="10"/>
      <c r="C82" s="9"/>
      <c r="D82" s="9"/>
      <c r="E82" s="10"/>
      <c r="F82" s="10"/>
      <c r="G82" s="10"/>
      <c r="H82" s="10"/>
      <c r="I82" s="10"/>
      <c r="J82" s="10"/>
      <c r="K82" s="10"/>
      <c r="L82" s="10"/>
      <c r="M82" s="10"/>
      <c r="N82" s="9"/>
      <c r="O82" s="9"/>
    </row>
    <row r="83" spans="1:15">
      <c r="A83" s="9"/>
      <c r="B83" s="10"/>
      <c r="C83" s="9"/>
      <c r="D83" s="9"/>
      <c r="E83" s="10"/>
      <c r="F83" s="10"/>
      <c r="G83" s="10"/>
      <c r="H83" s="10"/>
      <c r="I83" s="10"/>
      <c r="J83" s="10"/>
      <c r="K83" s="10"/>
      <c r="L83" s="10"/>
      <c r="M83" s="10"/>
      <c r="N83" s="9"/>
      <c r="O83" s="9"/>
    </row>
    <row r="84" spans="1:15">
      <c r="A84" s="9"/>
      <c r="B84" s="10"/>
      <c r="C84" s="9"/>
      <c r="D84" s="9"/>
      <c r="E84" s="10"/>
      <c r="F84" s="10"/>
      <c r="G84" s="10"/>
      <c r="H84" s="10"/>
      <c r="I84" s="10"/>
      <c r="J84" s="10"/>
      <c r="K84" s="10"/>
      <c r="L84" s="10"/>
      <c r="M84" s="10"/>
      <c r="N84" s="9"/>
      <c r="O84" s="9"/>
    </row>
    <row r="85" spans="1:15">
      <c r="A85" s="9"/>
      <c r="B85" s="10"/>
      <c r="C85" s="9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9"/>
      <c r="O85" s="9"/>
    </row>
    <row r="86" spans="1:15">
      <c r="A86" s="9"/>
      <c r="B86" s="10"/>
      <c r="C86" s="9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9"/>
      <c r="O86" s="9"/>
    </row>
    <row r="87" spans="1:15">
      <c r="A87" s="9"/>
      <c r="B87" s="10"/>
      <c r="C87" s="9"/>
      <c r="D87" s="9"/>
      <c r="E87" s="10"/>
      <c r="F87" s="10"/>
      <c r="G87" s="10"/>
      <c r="H87" s="10"/>
      <c r="I87" s="10"/>
      <c r="J87" s="10"/>
      <c r="K87" s="10"/>
      <c r="L87" s="10"/>
      <c r="M87" s="10"/>
      <c r="N87" s="9"/>
      <c r="O87" s="9"/>
    </row>
    <row r="88" spans="1:15">
      <c r="A88" s="9"/>
      <c r="B88" s="10"/>
      <c r="C88" s="9"/>
      <c r="D88" s="9"/>
      <c r="E88" s="10"/>
      <c r="F88" s="10"/>
      <c r="G88" s="10"/>
      <c r="H88" s="10"/>
      <c r="I88" s="10"/>
      <c r="J88" s="10"/>
      <c r="K88" s="10"/>
      <c r="L88" s="10"/>
      <c r="M88" s="10"/>
      <c r="N88" s="9"/>
      <c r="O88" s="9"/>
    </row>
    <row r="89" spans="1:15">
      <c r="A89" s="9"/>
      <c r="B89" s="10"/>
      <c r="C89" s="9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9"/>
      <c r="O89" s="9"/>
    </row>
    <row r="90" spans="1:15">
      <c r="A90" s="9"/>
      <c r="B90" s="10"/>
      <c r="C90" s="9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9"/>
      <c r="O90" s="9"/>
    </row>
    <row r="91" spans="1:15">
      <c r="A91" s="9"/>
      <c r="B91" s="10"/>
      <c r="C91" s="9"/>
      <c r="D91" s="9"/>
      <c r="E91" s="10"/>
      <c r="F91" s="10"/>
      <c r="G91" s="10"/>
      <c r="H91" s="10"/>
      <c r="I91" s="10"/>
      <c r="J91" s="10"/>
      <c r="K91" s="10"/>
      <c r="L91" s="10"/>
      <c r="M91" s="10"/>
      <c r="N91" s="9"/>
      <c r="O91" s="9"/>
    </row>
    <row r="92" spans="1:15">
      <c r="A92" s="9"/>
      <c r="B92" s="10"/>
      <c r="C92" s="9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9"/>
      <c r="O92" s="9"/>
    </row>
    <row r="93" spans="1:15">
      <c r="A93" s="9"/>
      <c r="B93" s="10"/>
      <c r="C93" s="9"/>
      <c r="D93" s="9"/>
      <c r="E93" s="10"/>
      <c r="F93" s="10"/>
      <c r="G93" s="10"/>
      <c r="H93" s="10"/>
      <c r="I93" s="10"/>
      <c r="J93" s="10"/>
      <c r="K93" s="10"/>
      <c r="L93" s="10"/>
      <c r="M93" s="10"/>
      <c r="N93" s="9"/>
      <c r="O93" s="9"/>
    </row>
    <row r="94" spans="1:15">
      <c r="A94" s="9"/>
      <c r="B94" s="10"/>
      <c r="C94" s="9"/>
      <c r="D94" s="9"/>
      <c r="E94" s="10"/>
      <c r="F94" s="10"/>
      <c r="G94" s="10"/>
      <c r="H94" s="10"/>
      <c r="I94" s="10"/>
      <c r="J94" s="10"/>
      <c r="K94" s="10"/>
      <c r="L94" s="10"/>
      <c r="M94" s="10"/>
      <c r="N94" s="9"/>
      <c r="O94" s="9"/>
    </row>
    <row r="95" spans="1:15">
      <c r="A95" s="9"/>
      <c r="B95" s="10"/>
      <c r="C95" s="9"/>
      <c r="D95" s="9"/>
      <c r="E95" s="10"/>
      <c r="F95" s="10"/>
      <c r="G95" s="10"/>
      <c r="H95" s="10"/>
      <c r="I95" s="10"/>
      <c r="J95" s="10"/>
      <c r="K95" s="10"/>
      <c r="L95" s="10"/>
      <c r="M95" s="10"/>
      <c r="N95" s="9"/>
      <c r="O95" s="9"/>
    </row>
    <row r="96" spans="1:15">
      <c r="A96" s="9"/>
      <c r="B96" s="10"/>
      <c r="C96" s="9"/>
      <c r="D96" s="9"/>
      <c r="E96" s="10"/>
      <c r="F96" s="10"/>
      <c r="G96" s="10"/>
      <c r="H96" s="10"/>
      <c r="I96" s="10"/>
      <c r="J96" s="10"/>
      <c r="K96" s="10"/>
      <c r="L96" s="10"/>
      <c r="M96" s="10"/>
      <c r="N96" s="9"/>
      <c r="O96" s="9"/>
    </row>
    <row r="97" spans="1:15">
      <c r="A97" s="9"/>
      <c r="B97" s="10"/>
      <c r="C97" s="9"/>
      <c r="D97" s="9"/>
      <c r="E97" s="10"/>
      <c r="F97" s="10"/>
      <c r="G97" s="10"/>
      <c r="H97" s="10"/>
      <c r="I97" s="10"/>
      <c r="J97" s="10"/>
      <c r="K97" s="10"/>
      <c r="L97" s="10"/>
      <c r="M97" s="10"/>
      <c r="N97" s="9"/>
      <c r="O97" s="9"/>
    </row>
    <row r="98" spans="1:15">
      <c r="A98" s="9"/>
      <c r="B98" s="10"/>
      <c r="C98" s="9"/>
      <c r="D98" s="9"/>
      <c r="E98" s="10"/>
      <c r="F98" s="10"/>
      <c r="G98" s="10"/>
      <c r="H98" s="10"/>
      <c r="I98" s="10"/>
      <c r="J98" s="10"/>
      <c r="K98" s="10"/>
      <c r="L98" s="10"/>
      <c r="M98" s="10"/>
      <c r="N98" s="9"/>
      <c r="O98" s="9"/>
    </row>
    <row r="99" spans="1:15">
      <c r="A99" s="9"/>
      <c r="B99" s="10"/>
      <c r="C99" s="9"/>
      <c r="D99" s="9"/>
      <c r="E99" s="10"/>
      <c r="F99" s="10"/>
      <c r="G99" s="10"/>
      <c r="H99" s="10"/>
      <c r="I99" s="10"/>
      <c r="J99" s="10"/>
      <c r="K99" s="10"/>
      <c r="L99" s="10"/>
      <c r="M99" s="10"/>
      <c r="N99" s="9"/>
      <c r="O99" s="9"/>
    </row>
    <row r="100" spans="1:15">
      <c r="A100" s="9"/>
      <c r="B100" s="10"/>
      <c r="C100" s="9"/>
      <c r="D100" s="9"/>
      <c r="E100" s="10"/>
      <c r="F100" s="10"/>
      <c r="G100" s="10"/>
      <c r="H100" s="10"/>
      <c r="I100" s="10"/>
      <c r="J100" s="10"/>
      <c r="K100" s="10"/>
      <c r="L100" s="10"/>
      <c r="M100" s="10"/>
      <c r="N100" s="9"/>
      <c r="O100" s="9"/>
    </row>
    <row r="101" spans="1:15">
      <c r="A101" s="9"/>
      <c r="B101" s="10"/>
      <c r="C101" s="9"/>
      <c r="D101" s="9"/>
      <c r="E101" s="10"/>
      <c r="F101" s="10"/>
      <c r="G101" s="10"/>
      <c r="H101" s="10"/>
      <c r="I101" s="10"/>
      <c r="J101" s="10"/>
      <c r="K101" s="10"/>
      <c r="L101" s="10"/>
      <c r="M101" s="10"/>
      <c r="N101" s="9"/>
      <c r="O101" s="9"/>
    </row>
    <row r="102" spans="1:15">
      <c r="A102" s="9"/>
      <c r="B102" s="10"/>
      <c r="C102" s="9"/>
      <c r="D102" s="9"/>
      <c r="E102" s="10"/>
      <c r="F102" s="10"/>
      <c r="G102" s="10"/>
      <c r="H102" s="10"/>
      <c r="I102" s="10"/>
      <c r="J102" s="10"/>
      <c r="K102" s="10"/>
      <c r="L102" s="10"/>
      <c r="M102" s="10"/>
      <c r="N102" s="9"/>
      <c r="O102" s="9"/>
    </row>
    <row r="103" spans="1:15">
      <c r="A103" s="9"/>
      <c r="B103" s="10"/>
      <c r="C103" s="9"/>
      <c r="D103" s="9"/>
      <c r="E103" s="10"/>
      <c r="F103" s="10"/>
      <c r="G103" s="10"/>
      <c r="H103" s="10"/>
      <c r="I103" s="10"/>
      <c r="J103" s="10"/>
      <c r="K103" s="10"/>
      <c r="L103" s="10"/>
      <c r="M103" s="10"/>
      <c r="N103" s="9"/>
      <c r="O103" s="9"/>
    </row>
    <row r="104" spans="1:15">
      <c r="A104" s="9"/>
      <c r="B104" s="10"/>
      <c r="C104" s="9"/>
      <c r="D104" s="9"/>
      <c r="E104" s="10"/>
      <c r="F104" s="10"/>
      <c r="G104" s="10"/>
      <c r="H104" s="10"/>
      <c r="I104" s="10"/>
      <c r="J104" s="10"/>
      <c r="K104" s="10"/>
      <c r="L104" s="10"/>
      <c r="M104" s="10"/>
      <c r="N104" s="9"/>
      <c r="O104" s="9"/>
    </row>
    <row r="105" spans="1:15">
      <c r="A105" s="9"/>
      <c r="B105" s="10"/>
      <c r="C105" s="9"/>
      <c r="D105" s="9"/>
      <c r="E105" s="10"/>
      <c r="F105" s="10"/>
      <c r="G105" s="10"/>
      <c r="H105" s="10"/>
      <c r="I105" s="10"/>
      <c r="J105" s="10"/>
      <c r="K105" s="10"/>
      <c r="L105" s="10"/>
      <c r="M105" s="10"/>
      <c r="N105" s="9"/>
      <c r="O105" s="9"/>
    </row>
    <row r="106" spans="1:15">
      <c r="A106" s="9"/>
      <c r="B106" s="10"/>
      <c r="C106" s="9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9"/>
      <c r="O106" s="9"/>
    </row>
    <row r="107" spans="1:15">
      <c r="A107" s="9"/>
      <c r="B107" s="10"/>
      <c r="C107" s="9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9"/>
      <c r="O107" s="9"/>
    </row>
    <row r="108" spans="1:15">
      <c r="A108" s="9"/>
      <c r="B108" s="10"/>
      <c r="C108" s="9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9"/>
      <c r="O108" s="9"/>
    </row>
    <row r="109" spans="1:15">
      <c r="A109" s="9"/>
      <c r="B109" s="10"/>
      <c r="C109" s="9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9"/>
      <c r="O109" s="9"/>
    </row>
    <row r="110" spans="1:15">
      <c r="A110" s="9"/>
      <c r="B110" s="10"/>
      <c r="C110" s="9"/>
      <c r="D110" s="9"/>
      <c r="E110" s="10"/>
      <c r="F110" s="10"/>
      <c r="G110" s="10"/>
      <c r="H110" s="10"/>
      <c r="I110" s="10"/>
      <c r="J110" s="10"/>
      <c r="K110" s="10"/>
      <c r="L110" s="10"/>
      <c r="M110" s="10"/>
      <c r="N110" s="9"/>
      <c r="O110" s="9"/>
    </row>
    <row r="111" spans="1:15">
      <c r="A111" s="9"/>
      <c r="B111" s="10"/>
      <c r="C111" s="9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9"/>
      <c r="O111" s="9"/>
    </row>
    <row r="112" spans="1:15">
      <c r="A112" s="9"/>
      <c r="B112" s="10"/>
      <c r="C112" s="9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9"/>
      <c r="O112" s="9"/>
    </row>
    <row r="113" spans="1:15">
      <c r="A113" s="9"/>
      <c r="B113" s="10"/>
      <c r="C113" s="9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9"/>
      <c r="O113" s="9"/>
    </row>
    <row r="114" spans="1:15">
      <c r="A114" s="9"/>
      <c r="B114" s="10"/>
      <c r="C114" s="9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9"/>
      <c r="O114" s="9"/>
    </row>
    <row r="115" spans="1:15">
      <c r="A115" s="9"/>
      <c r="B115" s="10"/>
      <c r="C115" s="9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9"/>
      <c r="O115" s="9"/>
    </row>
    <row r="116" spans="1:15">
      <c r="A116" s="9"/>
      <c r="B116" s="10"/>
      <c r="C116" s="9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9"/>
      <c r="O116" s="9"/>
    </row>
    <row r="117" spans="1:15">
      <c r="A117" s="9"/>
      <c r="B117" s="10"/>
      <c r="C117" s="9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9"/>
      <c r="O117" s="9"/>
    </row>
    <row r="118" spans="1:15">
      <c r="A118" s="9"/>
      <c r="B118" s="10"/>
      <c r="C118" s="9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9"/>
      <c r="O118" s="9"/>
    </row>
    <row r="119" spans="1:15">
      <c r="A119" s="9"/>
      <c r="B119" s="10"/>
      <c r="C119" s="9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9"/>
      <c r="O119" s="9"/>
    </row>
    <row r="120" spans="1:15">
      <c r="A120" s="9"/>
      <c r="B120" s="10"/>
      <c r="C120" s="9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9"/>
      <c r="O120" s="9"/>
    </row>
    <row r="121" spans="1:15">
      <c r="A121" s="9"/>
      <c r="B121" s="10"/>
      <c r="C121" s="9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9"/>
      <c r="O121" s="9"/>
    </row>
    <row r="122" spans="1:15">
      <c r="A122" s="9"/>
      <c r="B122" s="10"/>
      <c r="C122" s="9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9"/>
      <c r="O122" s="9"/>
    </row>
    <row r="123" spans="1:15">
      <c r="A123" s="9"/>
      <c r="B123" s="10"/>
      <c r="C123" s="9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9"/>
      <c r="O123" s="9"/>
    </row>
    <row r="124" spans="1:15">
      <c r="A124" s="9"/>
      <c r="B124" s="10"/>
      <c r="C124" s="9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9"/>
      <c r="O124" s="9"/>
    </row>
    <row r="125" spans="1:15">
      <c r="A125" s="9"/>
      <c r="B125" s="10"/>
      <c r="C125" s="9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9"/>
      <c r="O125" s="9"/>
    </row>
    <row r="126" spans="1:15">
      <c r="A126" s="9"/>
      <c r="B126" s="10"/>
      <c r="C126" s="9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9"/>
      <c r="O126" s="9"/>
    </row>
    <row r="127" spans="1:15">
      <c r="A127" s="9"/>
      <c r="B127" s="10"/>
      <c r="C127" s="9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9"/>
      <c r="O127" s="9"/>
    </row>
    <row r="128" spans="1:15">
      <c r="A128" s="9"/>
      <c r="B128" s="10"/>
      <c r="C128" s="9"/>
      <c r="D128" s="9"/>
      <c r="E128" s="10"/>
      <c r="F128" s="10"/>
      <c r="G128" s="10"/>
      <c r="H128" s="10"/>
      <c r="I128" s="10"/>
      <c r="J128" s="10"/>
      <c r="K128" s="10"/>
      <c r="L128" s="10"/>
      <c r="M128" s="10"/>
      <c r="N128" s="9"/>
      <c r="O128" s="9"/>
    </row>
    <row r="129" spans="1:15">
      <c r="A129" s="9"/>
      <c r="B129" s="10"/>
      <c r="C129" s="9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9"/>
      <c r="O129" s="9"/>
    </row>
    <row r="130" spans="1:15">
      <c r="A130" s="9"/>
      <c r="B130" s="10"/>
      <c r="C130" s="9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9"/>
      <c r="O130" s="9"/>
    </row>
    <row r="131" spans="1:15">
      <c r="A131" s="9"/>
      <c r="B131" s="10"/>
      <c r="C131" s="9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9"/>
      <c r="O131" s="9"/>
    </row>
    <row r="132" spans="1:15">
      <c r="A132" s="9"/>
      <c r="B132" s="10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9"/>
      <c r="O132" s="9"/>
    </row>
    <row r="133" spans="1:15">
      <c r="A133" s="9"/>
      <c r="B133" s="10"/>
      <c r="C133" s="9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9"/>
      <c r="O133" s="9"/>
    </row>
    <row r="134" spans="1:15">
      <c r="A134" s="9"/>
      <c r="B134" s="10"/>
      <c r="C134" s="9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9"/>
      <c r="O134" s="9"/>
    </row>
    <row r="135" spans="1:15">
      <c r="A135" s="9"/>
      <c r="B135" s="10"/>
      <c r="C135" s="9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9"/>
      <c r="O135" s="9"/>
    </row>
    <row r="136" spans="1:15">
      <c r="A136" s="9"/>
      <c r="B136" s="10"/>
      <c r="C136" s="9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9"/>
      <c r="O136" s="9"/>
    </row>
    <row r="137" spans="1:15">
      <c r="A137" s="9"/>
      <c r="B137" s="10"/>
      <c r="C137" s="9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9"/>
      <c r="O137" s="9"/>
    </row>
    <row r="138" spans="1:15">
      <c r="A138" s="9"/>
      <c r="B138" s="10"/>
      <c r="C138" s="9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9"/>
      <c r="O138" s="9"/>
    </row>
    <row r="139" spans="1:15">
      <c r="A139" s="9"/>
      <c r="B139" s="10"/>
      <c r="C139" s="9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9"/>
      <c r="O139" s="9"/>
    </row>
    <row r="140" spans="1:15">
      <c r="A140" s="9"/>
      <c r="B140" s="10"/>
      <c r="C140" s="9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9"/>
      <c r="O140" s="9"/>
    </row>
    <row r="141" spans="1:15">
      <c r="A141" s="9"/>
      <c r="B141" s="10"/>
      <c r="C141" s="9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9"/>
      <c r="O141" s="9"/>
    </row>
    <row r="142" spans="1:15">
      <c r="A142" s="9"/>
      <c r="B142" s="10"/>
      <c r="C142" s="9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9"/>
      <c r="O142" s="9"/>
    </row>
    <row r="143" spans="1:15">
      <c r="A143" s="9"/>
      <c r="B143" s="10"/>
      <c r="C143" s="9"/>
      <c r="D143" s="9"/>
      <c r="E143" s="10"/>
      <c r="F143" s="10"/>
      <c r="G143" s="10"/>
      <c r="H143" s="10"/>
      <c r="I143" s="10"/>
      <c r="J143" s="10"/>
      <c r="K143" s="10"/>
      <c r="L143" s="10"/>
      <c r="M143" s="10"/>
      <c r="N143" s="9"/>
      <c r="O143" s="9"/>
    </row>
    <row r="144" spans="1:15">
      <c r="A144" s="9"/>
      <c r="B144" s="10"/>
      <c r="C144" s="9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9"/>
      <c r="O144" s="9"/>
    </row>
    <row r="145" spans="1:15">
      <c r="A145" s="9"/>
      <c r="B145" s="10"/>
      <c r="C145" s="9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9"/>
      <c r="O145" s="9"/>
    </row>
    <row r="146" spans="1:15">
      <c r="A146" s="9"/>
      <c r="B146" s="10"/>
      <c r="C146" s="9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9"/>
      <c r="O146" s="9"/>
    </row>
    <row r="147" spans="1:15">
      <c r="A147" s="9"/>
      <c r="B147" s="10"/>
      <c r="C147" s="9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9"/>
      <c r="O147" s="9"/>
    </row>
    <row r="148" spans="1:15">
      <c r="A148" s="9"/>
      <c r="B148" s="10"/>
      <c r="C148" s="9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9"/>
      <c r="O148" s="9"/>
    </row>
    <row r="149" spans="1:15">
      <c r="A149" s="9"/>
      <c r="B149" s="10"/>
      <c r="C149" s="9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9"/>
      <c r="O149" s="9"/>
    </row>
    <row r="150" spans="1:15">
      <c r="A150" s="9"/>
      <c r="B150" s="10"/>
      <c r="C150" s="9"/>
      <c r="D150" s="9"/>
      <c r="E150" s="10"/>
      <c r="F150" s="10"/>
      <c r="G150" s="10"/>
      <c r="H150" s="10"/>
      <c r="I150" s="10"/>
      <c r="J150" s="10"/>
      <c r="K150" s="10"/>
      <c r="L150" s="10"/>
      <c r="M150" s="10"/>
      <c r="N150" s="9"/>
      <c r="O150" s="9"/>
    </row>
    <row r="151" spans="1:15">
      <c r="A151" s="9"/>
      <c r="B151" s="10"/>
      <c r="C151" s="9"/>
      <c r="D151" s="9"/>
      <c r="E151" s="10"/>
      <c r="F151" s="10"/>
      <c r="G151" s="10"/>
      <c r="H151" s="10"/>
      <c r="I151" s="10"/>
      <c r="J151" s="10"/>
      <c r="K151" s="10"/>
      <c r="L151" s="10"/>
      <c r="M151" s="10"/>
      <c r="N151" s="9"/>
      <c r="O151" s="9"/>
    </row>
    <row r="152" spans="1:15">
      <c r="A152" s="9"/>
      <c r="B152" s="10"/>
      <c r="C152" s="9"/>
      <c r="D152" s="9"/>
      <c r="E152" s="10"/>
      <c r="F152" s="10"/>
      <c r="G152" s="10"/>
      <c r="H152" s="10"/>
      <c r="I152" s="10"/>
      <c r="J152" s="10"/>
      <c r="K152" s="10"/>
      <c r="L152" s="10"/>
      <c r="M152" s="10"/>
      <c r="N152" s="9"/>
      <c r="O152" s="9"/>
    </row>
    <row r="153" spans="1:15">
      <c r="A153" s="9"/>
      <c r="B153" s="10"/>
      <c r="C153" s="9"/>
      <c r="D153" s="9"/>
      <c r="E153" s="10"/>
      <c r="F153" s="10"/>
      <c r="G153" s="10"/>
      <c r="H153" s="10"/>
      <c r="I153" s="10"/>
      <c r="J153" s="10"/>
      <c r="K153" s="10"/>
      <c r="L153" s="10"/>
      <c r="M153" s="10"/>
      <c r="N153" s="9"/>
      <c r="O153" s="9"/>
    </row>
    <row r="154" spans="1:15">
      <c r="A154" s="9"/>
      <c r="B154" s="10"/>
      <c r="C154" s="9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9"/>
      <c r="O154" s="9"/>
    </row>
    <row r="155" spans="1:15">
      <c r="A155" s="9"/>
      <c r="B155" s="10"/>
      <c r="C155" s="9"/>
      <c r="D155" s="9"/>
      <c r="E155" s="10"/>
      <c r="F155" s="10"/>
      <c r="G155" s="10"/>
      <c r="H155" s="10"/>
      <c r="I155" s="10"/>
      <c r="J155" s="10"/>
      <c r="K155" s="10"/>
      <c r="L155" s="10"/>
      <c r="M155" s="10"/>
      <c r="N155" s="9"/>
      <c r="O155" s="9"/>
    </row>
    <row r="156" spans="1:15">
      <c r="A156" s="9"/>
      <c r="B156" s="10"/>
      <c r="C156" s="9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9"/>
      <c r="O156" s="9"/>
    </row>
    <row r="157" spans="1:15">
      <c r="A157" s="9"/>
      <c r="B157" s="10"/>
      <c r="C157" s="9"/>
      <c r="D157" s="9"/>
      <c r="E157" s="10"/>
      <c r="F157" s="10"/>
      <c r="G157" s="10"/>
      <c r="H157" s="10"/>
      <c r="I157" s="10"/>
      <c r="J157" s="10"/>
      <c r="K157" s="10"/>
      <c r="L157" s="10"/>
      <c r="M157" s="10"/>
      <c r="N157" s="9"/>
      <c r="O157" s="9"/>
    </row>
    <row r="158" spans="1:15">
      <c r="A158" s="9"/>
      <c r="B158" s="10"/>
      <c r="C158" s="9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9"/>
      <c r="O158" s="9"/>
    </row>
    <row r="159" spans="1:15">
      <c r="A159" s="9"/>
      <c r="B159" s="10"/>
      <c r="C159" s="9"/>
      <c r="D159" s="9"/>
      <c r="E159" s="10"/>
      <c r="F159" s="10"/>
      <c r="G159" s="10"/>
      <c r="H159" s="10"/>
      <c r="I159" s="10"/>
      <c r="J159" s="10"/>
      <c r="K159" s="10"/>
      <c r="L159" s="10"/>
      <c r="M159" s="10"/>
      <c r="N159" s="9"/>
      <c r="O159" s="9"/>
    </row>
    <row r="160" spans="1:15">
      <c r="A160" s="9"/>
      <c r="B160" s="10"/>
      <c r="C160" s="9"/>
      <c r="D160" s="9"/>
      <c r="E160" s="10"/>
      <c r="F160" s="10"/>
      <c r="G160" s="10"/>
      <c r="H160" s="10"/>
      <c r="I160" s="10"/>
      <c r="J160" s="10"/>
      <c r="K160" s="10"/>
      <c r="L160" s="10"/>
      <c r="M160" s="10"/>
      <c r="N160" s="9"/>
      <c r="O160" s="9"/>
    </row>
    <row r="161" spans="1:15">
      <c r="A161" s="9"/>
      <c r="B161" s="10"/>
      <c r="C161" s="9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9"/>
      <c r="O161" s="9"/>
    </row>
    <row r="162" spans="1:15">
      <c r="A162" s="9"/>
      <c r="B162" s="10"/>
      <c r="C162" s="9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9"/>
      <c r="O162" s="9"/>
    </row>
    <row r="163" spans="1:15">
      <c r="A163" s="9"/>
      <c r="B163" s="10"/>
      <c r="C163" s="9"/>
      <c r="D163" s="9"/>
      <c r="E163" s="10"/>
      <c r="F163" s="10"/>
      <c r="G163" s="10"/>
      <c r="H163" s="10"/>
      <c r="I163" s="10"/>
      <c r="J163" s="10"/>
      <c r="K163" s="10"/>
      <c r="L163" s="10"/>
      <c r="M163" s="10"/>
      <c r="N163" s="9"/>
      <c r="O163" s="9"/>
    </row>
    <row r="164" spans="1:15">
      <c r="A164" s="9"/>
      <c r="B164" s="10"/>
      <c r="C164" s="9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9"/>
      <c r="O164" s="9"/>
    </row>
    <row r="165" spans="1:15">
      <c r="A165" s="9"/>
      <c r="B165" s="10"/>
      <c r="C165" s="9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9"/>
      <c r="O165" s="9"/>
    </row>
    <row r="166" spans="1:15">
      <c r="A166" s="9"/>
      <c r="B166" s="10"/>
      <c r="C166" s="9"/>
      <c r="D166" s="9"/>
      <c r="E166" s="10"/>
      <c r="F166" s="10"/>
      <c r="G166" s="10"/>
      <c r="H166" s="10"/>
      <c r="I166" s="10"/>
      <c r="J166" s="10"/>
      <c r="K166" s="10"/>
      <c r="L166" s="10"/>
      <c r="M166" s="10"/>
      <c r="N166" s="9"/>
      <c r="O166" s="9"/>
    </row>
    <row r="167" spans="1:15">
      <c r="A167" s="9"/>
      <c r="B167" s="10"/>
      <c r="C167" s="9"/>
      <c r="D167" s="9"/>
      <c r="E167" s="10"/>
      <c r="F167" s="10"/>
      <c r="G167" s="10"/>
      <c r="H167" s="10"/>
      <c r="I167" s="10"/>
      <c r="J167" s="10"/>
      <c r="K167" s="10"/>
      <c r="L167" s="10"/>
      <c r="M167" s="10"/>
      <c r="N167" s="9"/>
      <c r="O167" s="9"/>
    </row>
    <row r="168" spans="1:15">
      <c r="A168" s="9"/>
      <c r="B168" s="10"/>
      <c r="C168" s="9"/>
      <c r="D168" s="9"/>
      <c r="E168" s="10"/>
      <c r="F168" s="10"/>
      <c r="G168" s="10"/>
      <c r="H168" s="10"/>
      <c r="I168" s="10"/>
      <c r="J168" s="10"/>
      <c r="K168" s="10"/>
      <c r="L168" s="10"/>
      <c r="M168" s="10"/>
      <c r="N168" s="9"/>
      <c r="O168" s="9"/>
    </row>
    <row r="169" spans="1:15">
      <c r="A169" s="9"/>
      <c r="B169" s="10"/>
      <c r="C169" s="9"/>
      <c r="D169" s="9"/>
      <c r="E169" s="10"/>
      <c r="F169" s="10"/>
      <c r="G169" s="10"/>
      <c r="H169" s="10"/>
      <c r="I169" s="10"/>
      <c r="J169" s="10"/>
      <c r="K169" s="10"/>
      <c r="L169" s="10"/>
      <c r="M169" s="10"/>
      <c r="N169" s="9"/>
      <c r="O169" s="9"/>
    </row>
    <row r="170" spans="1:15">
      <c r="A170" s="9"/>
      <c r="B170" s="10"/>
      <c r="C170" s="9"/>
      <c r="D170" s="9"/>
      <c r="E170" s="10"/>
      <c r="F170" s="10"/>
      <c r="G170" s="10"/>
      <c r="H170" s="10"/>
      <c r="I170" s="10"/>
      <c r="J170" s="10"/>
      <c r="K170" s="10"/>
      <c r="L170" s="10"/>
      <c r="M170" s="10"/>
      <c r="N170" s="9"/>
      <c r="O170" s="9"/>
    </row>
    <row r="171" spans="1:15">
      <c r="A171" s="9"/>
      <c r="B171" s="10"/>
      <c r="C171" s="9"/>
      <c r="D171" s="9"/>
      <c r="E171" s="10"/>
      <c r="F171" s="10"/>
      <c r="G171" s="10"/>
      <c r="H171" s="10"/>
      <c r="I171" s="10"/>
      <c r="J171" s="10"/>
      <c r="K171" s="10"/>
      <c r="L171" s="10"/>
      <c r="M171" s="10"/>
      <c r="N171" s="9"/>
      <c r="O171" s="9"/>
    </row>
    <row r="172" spans="1:15">
      <c r="A172" s="9"/>
      <c r="B172" s="10"/>
      <c r="C172" s="9"/>
      <c r="D172" s="9"/>
      <c r="E172" s="10"/>
      <c r="F172" s="10"/>
      <c r="G172" s="10"/>
      <c r="H172" s="10"/>
      <c r="I172" s="10"/>
      <c r="J172" s="10"/>
      <c r="K172" s="10"/>
      <c r="L172" s="10"/>
      <c r="M172" s="10"/>
      <c r="N172" s="9"/>
      <c r="O172" s="9"/>
    </row>
    <row r="173" spans="1:15">
      <c r="A173" s="9"/>
      <c r="B173" s="10"/>
      <c r="C173" s="9"/>
      <c r="D173" s="9"/>
      <c r="E173" s="10"/>
      <c r="F173" s="10"/>
      <c r="G173" s="10"/>
      <c r="H173" s="10"/>
      <c r="I173" s="10"/>
      <c r="J173" s="10"/>
      <c r="K173" s="10"/>
      <c r="L173" s="10"/>
      <c r="M173" s="10"/>
      <c r="N173" s="9"/>
      <c r="O173" s="9"/>
    </row>
    <row r="174" spans="1:15">
      <c r="A174" s="9"/>
      <c r="B174" s="10"/>
      <c r="C174" s="9"/>
      <c r="D174" s="9"/>
      <c r="E174" s="10"/>
      <c r="F174" s="10"/>
      <c r="G174" s="10"/>
      <c r="H174" s="10"/>
      <c r="I174" s="10"/>
      <c r="J174" s="10"/>
      <c r="K174" s="10"/>
      <c r="L174" s="10"/>
      <c r="M174" s="10"/>
      <c r="N174" s="9"/>
      <c r="O174" s="9"/>
    </row>
    <row r="175" spans="1:15">
      <c r="A175" s="9"/>
      <c r="B175" s="10"/>
      <c r="C175" s="9"/>
      <c r="D175" s="9"/>
      <c r="E175" s="10"/>
      <c r="F175" s="10"/>
      <c r="G175" s="10"/>
      <c r="H175" s="10"/>
      <c r="I175" s="10"/>
      <c r="J175" s="10"/>
      <c r="K175" s="10"/>
      <c r="L175" s="10"/>
      <c r="M175" s="10"/>
      <c r="N175" s="9"/>
      <c r="O175" s="9"/>
    </row>
    <row r="176" spans="1:15">
      <c r="A176" s="9"/>
      <c r="B176" s="10"/>
      <c r="C176" s="9"/>
      <c r="D176" s="9"/>
      <c r="E176" s="10"/>
      <c r="F176" s="10"/>
      <c r="G176" s="10"/>
      <c r="H176" s="10"/>
      <c r="I176" s="10"/>
      <c r="J176" s="10"/>
      <c r="K176" s="10"/>
      <c r="L176" s="10"/>
      <c r="M176" s="10"/>
      <c r="N176" s="9"/>
      <c r="O176" s="9"/>
    </row>
    <row r="177" spans="1:15">
      <c r="A177" s="9"/>
      <c r="B177" s="10"/>
      <c r="C177" s="9"/>
      <c r="D177" s="9"/>
      <c r="E177" s="10"/>
      <c r="F177" s="10"/>
      <c r="G177" s="10"/>
      <c r="H177" s="10"/>
      <c r="I177" s="10"/>
      <c r="J177" s="10"/>
      <c r="K177" s="10"/>
      <c r="L177" s="10"/>
      <c r="M177" s="10"/>
      <c r="N177" s="9"/>
      <c r="O177" s="9"/>
    </row>
    <row r="178" spans="1:15">
      <c r="A178" s="9"/>
      <c r="B178" s="10"/>
      <c r="C178" s="9"/>
      <c r="D178" s="9"/>
      <c r="E178" s="10"/>
      <c r="F178" s="10"/>
      <c r="G178" s="10"/>
      <c r="H178" s="10"/>
      <c r="I178" s="10"/>
      <c r="J178" s="10"/>
      <c r="K178" s="10"/>
      <c r="L178" s="10"/>
      <c r="M178" s="10"/>
      <c r="N178" s="9"/>
      <c r="O178" s="9"/>
    </row>
    <row r="179" spans="1:15">
      <c r="A179" s="9"/>
      <c r="B179" s="10"/>
      <c r="C179" s="9"/>
      <c r="D179" s="9"/>
      <c r="E179" s="10"/>
      <c r="F179" s="10"/>
      <c r="G179" s="10"/>
      <c r="H179" s="10"/>
      <c r="I179" s="10"/>
      <c r="J179" s="10"/>
      <c r="K179" s="10"/>
      <c r="L179" s="10"/>
      <c r="M179" s="10"/>
      <c r="N179" s="9"/>
      <c r="O179" s="9"/>
    </row>
    <row r="180" spans="1:15">
      <c r="A180" s="9"/>
      <c r="B180" s="10"/>
      <c r="C180" s="9"/>
      <c r="D180" s="9"/>
      <c r="E180" s="10"/>
      <c r="F180" s="10"/>
      <c r="G180" s="10"/>
      <c r="H180" s="10"/>
      <c r="I180" s="10"/>
      <c r="J180" s="10"/>
      <c r="K180" s="10"/>
      <c r="L180" s="10"/>
      <c r="M180" s="10"/>
      <c r="N180" s="9"/>
      <c r="O180" s="9"/>
    </row>
    <row r="181" spans="1:15">
      <c r="A181" s="9"/>
      <c r="B181" s="10"/>
      <c r="C181" s="9"/>
      <c r="D181" s="9"/>
      <c r="E181" s="10"/>
      <c r="F181" s="10"/>
      <c r="G181" s="10"/>
      <c r="H181" s="10"/>
      <c r="I181" s="10"/>
      <c r="J181" s="10"/>
      <c r="K181" s="10"/>
      <c r="L181" s="10"/>
      <c r="M181" s="10"/>
      <c r="N181" s="9"/>
      <c r="O181" s="9"/>
    </row>
    <row r="182" spans="1:15">
      <c r="A182" s="9"/>
      <c r="B182" s="10"/>
      <c r="C182" s="9"/>
      <c r="D182" s="9"/>
      <c r="E182" s="10"/>
      <c r="F182" s="10"/>
      <c r="G182" s="10"/>
      <c r="H182" s="10"/>
      <c r="I182" s="10"/>
      <c r="J182" s="10"/>
      <c r="K182" s="10"/>
      <c r="L182" s="10"/>
      <c r="M182" s="10"/>
      <c r="N182" s="9"/>
      <c r="O182" s="9"/>
    </row>
    <row r="183" spans="1:15">
      <c r="A183" s="9"/>
      <c r="B183" s="10"/>
      <c r="C183" s="9"/>
      <c r="D183" s="9"/>
      <c r="E183" s="10"/>
      <c r="F183" s="10"/>
      <c r="G183" s="10"/>
      <c r="H183" s="10"/>
      <c r="I183" s="10"/>
      <c r="J183" s="10"/>
      <c r="K183" s="10"/>
      <c r="L183" s="10"/>
      <c r="M183" s="10"/>
      <c r="N183" s="9"/>
      <c r="O183" s="9"/>
    </row>
    <row r="184" spans="1:15">
      <c r="A184" s="9"/>
      <c r="B184" s="10"/>
      <c r="C184" s="9"/>
      <c r="D184" s="9"/>
      <c r="E184" s="10"/>
      <c r="F184" s="10"/>
      <c r="G184" s="10"/>
      <c r="H184" s="10"/>
      <c r="I184" s="10"/>
      <c r="J184" s="10"/>
      <c r="K184" s="10"/>
      <c r="L184" s="10"/>
      <c r="M184" s="10"/>
      <c r="N184" s="9"/>
      <c r="O184" s="9"/>
    </row>
    <row r="185" spans="1:15">
      <c r="A185" s="9"/>
      <c r="B185" s="10"/>
      <c r="C185" s="9"/>
      <c r="D185" s="9"/>
      <c r="E185" s="10"/>
      <c r="F185" s="10"/>
      <c r="G185" s="10"/>
      <c r="H185" s="10"/>
      <c r="I185" s="10"/>
      <c r="J185" s="10"/>
      <c r="K185" s="10"/>
      <c r="L185" s="10"/>
      <c r="M185" s="10"/>
      <c r="N185" s="9"/>
      <c r="O185" s="9"/>
    </row>
    <row r="186" spans="1:15">
      <c r="A186" s="9"/>
      <c r="B186" s="10"/>
      <c r="C186" s="9"/>
      <c r="D186" s="9"/>
      <c r="E186" s="10"/>
      <c r="F186" s="10"/>
      <c r="G186" s="10"/>
      <c r="H186" s="10"/>
      <c r="I186" s="10"/>
      <c r="J186" s="10"/>
      <c r="K186" s="10"/>
      <c r="L186" s="10"/>
      <c r="M186" s="10"/>
      <c r="N186" s="9"/>
      <c r="O186" s="9"/>
    </row>
    <row r="187" spans="1:15">
      <c r="A187" s="9"/>
      <c r="B187" s="10"/>
      <c r="C187" s="9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9"/>
      <c r="O187" s="9"/>
    </row>
    <row r="188" spans="1:15">
      <c r="A188" s="9"/>
      <c r="B188" s="10"/>
      <c r="C188" s="9"/>
      <c r="D188" s="9"/>
      <c r="E188" s="10"/>
      <c r="F188" s="10"/>
      <c r="G188" s="10"/>
      <c r="H188" s="10"/>
      <c r="I188" s="10"/>
      <c r="J188" s="10"/>
      <c r="K188" s="10"/>
      <c r="L188" s="10"/>
      <c r="M188" s="10"/>
      <c r="N188" s="9"/>
      <c r="O188" s="9"/>
    </row>
    <row r="189" spans="1:15">
      <c r="A189" s="9"/>
      <c r="B189" s="10"/>
      <c r="C189" s="9"/>
      <c r="D189" s="9"/>
      <c r="E189" s="10"/>
      <c r="F189" s="10"/>
      <c r="G189" s="10"/>
      <c r="H189" s="10"/>
      <c r="I189" s="10"/>
      <c r="J189" s="10"/>
      <c r="K189" s="10"/>
      <c r="L189" s="10"/>
      <c r="M189" s="10"/>
      <c r="N189" s="9"/>
      <c r="O189" s="9"/>
    </row>
    <row r="190" spans="1:15">
      <c r="A190" s="9"/>
      <c r="B190" s="10"/>
      <c r="C190" s="9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9"/>
      <c r="O190" s="9"/>
    </row>
    <row r="191" spans="1:15">
      <c r="A191" s="9"/>
      <c r="B191" s="10"/>
      <c r="C191" s="9"/>
      <c r="D191" s="9"/>
      <c r="E191" s="10"/>
      <c r="F191" s="10"/>
      <c r="G191" s="10"/>
      <c r="H191" s="10"/>
      <c r="I191" s="10"/>
      <c r="J191" s="10"/>
      <c r="K191" s="10"/>
      <c r="L191" s="10"/>
      <c r="M191" s="10"/>
      <c r="N191" s="9"/>
      <c r="O191" s="9"/>
    </row>
    <row r="192" spans="1:15">
      <c r="A192" s="9"/>
      <c r="B192" s="10"/>
      <c r="C192" s="9"/>
      <c r="D192" s="9"/>
      <c r="E192" s="10"/>
      <c r="F192" s="10"/>
      <c r="G192" s="10"/>
      <c r="H192" s="10"/>
      <c r="I192" s="10"/>
      <c r="J192" s="10"/>
      <c r="K192" s="10"/>
      <c r="L192" s="10"/>
      <c r="M192" s="10"/>
      <c r="N192" s="9"/>
      <c r="O192" s="9"/>
    </row>
    <row r="193" spans="1:15">
      <c r="A193" s="9"/>
      <c r="B193" s="10"/>
      <c r="C193" s="9"/>
      <c r="D193" s="9"/>
      <c r="E193" s="10"/>
      <c r="F193" s="10"/>
      <c r="G193" s="10"/>
      <c r="H193" s="10"/>
      <c r="I193" s="10"/>
      <c r="J193" s="10"/>
      <c r="K193" s="10"/>
      <c r="L193" s="10"/>
      <c r="M193" s="10"/>
      <c r="N193" s="9"/>
      <c r="O193" s="9"/>
    </row>
    <row r="194" spans="1:15">
      <c r="A194" s="9"/>
      <c r="B194" s="10"/>
      <c r="C194" s="9"/>
      <c r="D194" s="9"/>
      <c r="E194" s="10"/>
      <c r="F194" s="10"/>
      <c r="G194" s="10"/>
      <c r="H194" s="10"/>
      <c r="I194" s="10"/>
      <c r="J194" s="10"/>
      <c r="K194" s="10"/>
      <c r="L194" s="10"/>
      <c r="M194" s="10"/>
      <c r="N194" s="9"/>
      <c r="O194" s="9"/>
    </row>
    <row r="195" spans="1:15">
      <c r="A195" s="9"/>
      <c r="B195" s="10"/>
      <c r="C195" s="9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9"/>
      <c r="O195" s="9"/>
    </row>
    <row r="196" spans="1:15">
      <c r="A196" s="9"/>
      <c r="B196" s="10"/>
      <c r="C196" s="9"/>
      <c r="D196" s="9"/>
      <c r="E196" s="10"/>
      <c r="F196" s="10"/>
      <c r="G196" s="10"/>
      <c r="H196" s="10"/>
      <c r="I196" s="10"/>
      <c r="J196" s="10"/>
      <c r="K196" s="10"/>
      <c r="L196" s="10"/>
      <c r="M196" s="10"/>
      <c r="N196" s="9"/>
      <c r="O196" s="9"/>
    </row>
    <row r="197" spans="1:15">
      <c r="A197" s="9"/>
      <c r="B197" s="10"/>
      <c r="C197" s="9"/>
      <c r="D197" s="9"/>
      <c r="E197" s="10"/>
      <c r="F197" s="10"/>
      <c r="G197" s="10"/>
      <c r="H197" s="10"/>
      <c r="I197" s="10"/>
      <c r="J197" s="10"/>
      <c r="K197" s="10"/>
      <c r="L197" s="10"/>
      <c r="M197" s="10"/>
      <c r="N197" s="9"/>
      <c r="O197" s="9"/>
    </row>
    <row r="198" spans="1:15">
      <c r="A198" s="9"/>
      <c r="B198" s="10"/>
      <c r="C198" s="9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9"/>
      <c r="O198" s="9"/>
    </row>
  </sheetData>
  <conditionalFormatting sqref="D2:D198">
    <cfRule type="expression" dxfId="1" priority="1">
      <formula>D2="JA"</formula>
    </cfRule>
    <cfRule type="expression" dxfId="0" priority="2">
      <formula>D2="NEIN"</formula>
    </cfRule>
  </conditionalFormatting>
  <dataValidations count="1">
    <dataValidation type="list" sqref="N2:N198 D2:D198" xr:uid="{00000000-0002-0000-0200-000000000000}">
      <formula1>"JA,NEIN"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2000000}">
          <x14:formula1>
            <xm:f>Fuhrenoptionen!$C$2:$C$49</xm:f>
          </x14:formula1>
          <xm:sqref>A2:A198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B4" sqref="B4"/>
    </sheetView>
  </sheetViews>
  <sheetFormatPr baseColWidth="10" defaultColWidth="8.83203125" defaultRowHeight="14"/>
  <cols>
    <col min="1" max="1" width="34" customWidth="1"/>
    <col min="2" max="2" width="16" customWidth="1"/>
    <col min="3" max="3" width="12" customWidth="1"/>
    <col min="4" max="4" width="50" customWidth="1"/>
  </cols>
  <sheetData>
    <row r="1" spans="1:4" ht="16">
      <c r="A1" s="3" t="s">
        <v>55</v>
      </c>
      <c r="B1" s="3" t="s">
        <v>15</v>
      </c>
      <c r="C1" s="3" t="s">
        <v>56</v>
      </c>
      <c r="D1" s="3" t="s">
        <v>30</v>
      </c>
    </row>
    <row r="2" spans="1:4" ht="15">
      <c r="A2" s="2" t="s">
        <v>57</v>
      </c>
      <c r="B2" s="10">
        <v>500</v>
      </c>
      <c r="C2" s="2" t="s">
        <v>58</v>
      </c>
      <c r="D2" s="2" t="s">
        <v>59</v>
      </c>
    </row>
    <row r="3" spans="1:4" ht="15">
      <c r="A3" s="2" t="s">
        <v>60</v>
      </c>
      <c r="B3" s="10">
        <v>2500</v>
      </c>
      <c r="C3" s="2" t="s">
        <v>61</v>
      </c>
      <c r="D3" s="2" t="s">
        <v>62</v>
      </c>
    </row>
    <row r="4" spans="1:4" ht="15">
      <c r="A4" s="2" t="s">
        <v>63</v>
      </c>
      <c r="B4" s="10">
        <v>80</v>
      </c>
      <c r="C4" s="2" t="s">
        <v>64</v>
      </c>
      <c r="D4" s="2" t="s">
        <v>65</v>
      </c>
    </row>
    <row r="5" spans="1:4" ht="15">
      <c r="A5" s="2" t="s">
        <v>66</v>
      </c>
      <c r="B5" s="10">
        <v>40</v>
      </c>
      <c r="C5" s="2" t="s">
        <v>64</v>
      </c>
      <c r="D5" s="2" t="s">
        <v>67</v>
      </c>
    </row>
    <row r="6" spans="1:4" ht="15">
      <c r="A6" s="2" t="s">
        <v>68</v>
      </c>
      <c r="B6" s="10">
        <v>100</v>
      </c>
      <c r="C6" s="2" t="s">
        <v>64</v>
      </c>
      <c r="D6" s="2" t="s">
        <v>69</v>
      </c>
    </row>
    <row r="7" spans="1:4" ht="15">
      <c r="A7" s="2" t="s">
        <v>70</v>
      </c>
      <c r="B7" s="10">
        <v>0</v>
      </c>
      <c r="C7" s="2" t="s">
        <v>64</v>
      </c>
      <c r="D7" s="2" t="s">
        <v>71</v>
      </c>
    </row>
    <row r="8" spans="1:4" ht="15">
      <c r="A8" s="2" t="s">
        <v>72</v>
      </c>
      <c r="B8" s="9" t="s">
        <v>33</v>
      </c>
      <c r="C8" s="2" t="s">
        <v>73</v>
      </c>
      <c r="D8" s="2" t="s">
        <v>74</v>
      </c>
    </row>
    <row r="9" spans="1:4" ht="15">
      <c r="A9" s="2" t="s">
        <v>75</v>
      </c>
      <c r="B9" s="9" t="s">
        <v>33</v>
      </c>
      <c r="C9" s="2" t="s">
        <v>73</v>
      </c>
      <c r="D9" s="2" t="s">
        <v>74</v>
      </c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</sheetData>
  <dataValidations count="1">
    <dataValidation type="list" sqref="B8:B9" xr:uid="{00000000-0002-0000-0300-000000000000}">
      <formula1>"JA,NEIN"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activeCell="B37" sqref="B37"/>
    </sheetView>
  </sheetViews>
  <sheetFormatPr baseColWidth="10" defaultColWidth="8.83203125" defaultRowHeight="14"/>
  <cols>
    <col min="1" max="1" width="24" customWidth="1"/>
    <col min="2" max="2" width="90" customWidth="1"/>
  </cols>
  <sheetData>
    <row r="1" spans="1:6" ht="17">
      <c r="A1" s="13" t="s">
        <v>76</v>
      </c>
      <c r="B1" s="14"/>
      <c r="C1" s="14"/>
      <c r="D1" s="14"/>
      <c r="E1" s="14"/>
      <c r="F1" s="14"/>
    </row>
    <row r="3" spans="1:6" ht="16">
      <c r="A3" s="3" t="s">
        <v>77</v>
      </c>
      <c r="B3" s="3" t="s">
        <v>78</v>
      </c>
    </row>
    <row r="4" spans="1:6" ht="15">
      <c r="A4" s="1" t="s">
        <v>79</v>
      </c>
      <c r="B4" s="2" t="s">
        <v>80</v>
      </c>
    </row>
    <row r="5" spans="1:6" ht="15">
      <c r="A5" s="1" t="s">
        <v>81</v>
      </c>
      <c r="B5" s="2" t="s">
        <v>82</v>
      </c>
    </row>
    <row r="6" spans="1:6" ht="15">
      <c r="A6" s="1" t="s">
        <v>83</v>
      </c>
      <c r="B6" s="2" t="s">
        <v>84</v>
      </c>
    </row>
    <row r="7" spans="1:6" ht="15">
      <c r="A7" s="1" t="s">
        <v>2</v>
      </c>
      <c r="B7" s="2" t="s">
        <v>85</v>
      </c>
    </row>
    <row r="8" spans="1:6" ht="15">
      <c r="A8" s="1" t="s">
        <v>86</v>
      </c>
      <c r="B8" s="2" t="s">
        <v>87</v>
      </c>
    </row>
    <row r="9" spans="1:6" ht="15">
      <c r="A9" s="1" t="s">
        <v>88</v>
      </c>
      <c r="B9" s="2" t="s">
        <v>89</v>
      </c>
    </row>
    <row r="10" spans="1:6" ht="15">
      <c r="A10" s="1" t="s">
        <v>90</v>
      </c>
      <c r="B10" s="2" t="s">
        <v>91</v>
      </c>
    </row>
    <row r="11" spans="1:6" ht="15">
      <c r="A11" s="1" t="s">
        <v>92</v>
      </c>
      <c r="B11" s="2" t="s">
        <v>93</v>
      </c>
    </row>
    <row r="12" spans="1:6" ht="15">
      <c r="A12" s="1" t="s">
        <v>51</v>
      </c>
      <c r="B12" s="2" t="s">
        <v>94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Fuhrenoptionen</vt:lpstr>
      <vt:lpstr>Pritschen</vt:lpstr>
      <vt:lpstr>Standards</vt:lpstr>
      <vt:lpstr>Import_Hinweis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Petri, Sergej</cp:lastModifiedBy>
  <cp:revision/>
  <dcterms:created xsi:type="dcterms:W3CDTF">2026-06-26T21:10:50Z</dcterms:created>
  <dcterms:modified xsi:type="dcterms:W3CDTF">2026-08-25T06:54:47Z</dcterms:modified>
  <cp:category/>
  <cp:contentStatus/>
</cp:coreProperties>
</file>